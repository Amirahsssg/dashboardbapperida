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dikator" sheetId="2" state="visible" r:id="rId4"/>
    <sheet name="Program_RKPD_2026" sheetId="3" state="visible" r:id="rId5"/>
    <sheet name="Dokumen" sheetId="4" state="visible" r:id="rId6"/>
    <sheet name="Target_Dokumen_PD" sheetId="5" state="visible" r:id="rId7"/>
    <sheet name="Temuan_Pemeriksaan" sheetId="6" state="visible" r:id="rId8"/>
    <sheet name="DSSD" sheetId="7" state="visible" r:id="rId9"/>
    <sheet name="Urusan" sheetId="8" state="visible" r:id="rId10"/>
    <sheet name="Realisasi_Anggaran_2026" sheetId="9" state="visible" r:id="rId11"/>
  </sheets>
  <definedNames>
    <definedName function="false" hidden="true" localSheetId="3" name="_xlnm._FilterDatabase" vbProcedure="false">Dokumen!$A$3:$K$49</definedName>
    <definedName function="false" hidden="true" localSheetId="6" name="_xlnm._FilterDatabase" vbProcedure="false">DSSD!$A$3:$J$33</definedName>
    <definedName function="false" hidden="true" localSheetId="1" name="_xlnm._FilterDatabase" vbProcedure="false">Indikator!$A$3:$W$33</definedName>
    <definedName function="false" hidden="true" localSheetId="2" name="_xlnm._FilterDatabase" vbProcedure="false">Program_RKPD_2026!$A$3:$G$28</definedName>
    <definedName function="false" hidden="true" localSheetId="8" name="_xlnm._FilterDatabase" vbProcedure="false">Realisasi_Anggaran_2026!$A$3:$F$12</definedName>
    <definedName function="false" hidden="true" localSheetId="4" name="_xlnm._FilterDatabase" vbProcedure="false">Target_Dokumen_PD!$A$3:$K$51</definedName>
    <definedName function="false" hidden="true" localSheetId="5" name="_xlnm._FilterDatabase" vbProcedure="false">Temuan_Pemeriksaan!$A$3:$M$11</definedName>
    <definedName function="false" hidden="true" localSheetId="7" name="_xlnm._FilterDatabase" vbProcedure="false">Urusan!$A$3:$E$18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<sst xmlns="http://schemas.openxmlformats.org/spreadsheetml/2006/main" count="1783" uniqueCount="629">
  <si>
    <t xml:space="preserve">Data simulasi Dashboard Bapperida Kota Palembang</t>
  </si>
  <si>
    <t xml:space="preserve">SEMUA ANGKA DI FILE INI ADALAH DATA CONTOH (SIMULASI), BUKAN DATA RESMI.</t>
  </si>
  <si>
    <t xml:space="preserve">Dipakai untuk prototipe dashboard internal. Ganti dengan data resmi dari BPS, perangkat daerah dan dokumen perencanaan yang ditetapkan.</t>
  </si>
  <si>
    <t xml:space="preserve">Isi sheet</t>
  </si>
  <si>
    <t xml:space="preserve">Indikator — 30 indikator IKU/IKD/IKK: realisasi 2021–2025, target RPJMD 2025–2029, proyeksi 2029 dan status (dihitung dengan rumus).</t>
  </si>
  <si>
    <t xml:space="preserve">Program_RKPD_2026 — program pendukung per indikator, pagu indikatif 2026 (Rp juta), realisasi anggaran 2025 dan catatan Monev.</t>
  </si>
  <si>
    <t xml:space="preserve">Dokumen — daftar dokumen perencanaan kota, perangkat daerah dan regulasi beserta metadata.</t>
  </si>
  <si>
    <t xml:space="preserve">Target_Dokumen_PD — target indikator yang tertulis di Renstra/Renja PD dibandingkan dokumen rujukan (bahan pemeriksaan otomatis).</t>
  </si>
  <si>
    <t xml:space="preserve">Temuan_Pemeriksaan — hasil pemeriksaan otomatis: perbedaan target, nama, satuan, atau indikator yang tidak dimuat.</t>
  </si>
  <si>
    <t xml:space="preserve">DSSD — data statistik sektoral per urusan 2021–2025 (data dasar Buku Saku).</t>
  </si>
  <si>
    <t xml:space="preserve">Urusan — pembagian urusan per bidang, perangkat daerah pengampu dan isu strategis.</t>
  </si>
  <si>
    <t xml:space="preserve">Cara membaca status</t>
  </si>
  <si>
    <t xml:space="preserve">Proyeksi 2029 = realisasi 2025 + (realisasi 2025 − realisasi 2021), yaitu kelanjutan tren 4 tahun terakhir. Untuk satuan %, dibatasi 0–100.</t>
  </si>
  <si>
    <t xml:space="preserve">Arah 'naik': Sesuai jalur bila proyeksi ≥ target; Perlu perhatian bila ≥ 97% target; selain itu Berisiko.</t>
  </si>
  <si>
    <t xml:space="preserve">Arah 'turun': Sesuai jalur bila proyeksi ≤ target; Perlu perhatian bila ≤ 105% target; selain itu Berisiko.</t>
  </si>
  <si>
    <t xml:space="preserve">Teks biru = nilai yang diisi (data contoh). Teks hitam = rumus. Nama program mengikuti nomenklatur Kepmendagri 050; nomor dan tanggal penetapan dokumen daerah sengaja dikosongkan.</t>
  </si>
  <si>
    <t xml:space="preserve">Data simulasi. Proyeksi dan Status dihitung dengan rumus (lihat README).</t>
  </si>
  <si>
    <t xml:space="preserve">Kode</t>
  </si>
  <si>
    <t xml:space="preserve">Indikator</t>
  </si>
  <si>
    <t xml:space="preserve">Jenis</t>
  </si>
  <si>
    <t xml:space="preserve">Satuan</t>
  </si>
  <si>
    <t xml:space="preserve">Arah</t>
  </si>
  <si>
    <t xml:space="preserve">Urusan</t>
  </si>
  <si>
    <t xml:space="preserve">Bidang</t>
  </si>
  <si>
    <t xml:space="preserve">Perangkat daerah</t>
  </si>
  <si>
    <t xml:space="preserve">Sumber data</t>
  </si>
  <si>
    <t xml:space="preserve">Realisasi 2021</t>
  </si>
  <si>
    <t xml:space="preserve">Realisasi 2022</t>
  </si>
  <si>
    <t xml:space="preserve">Realisasi 2023</t>
  </si>
  <si>
    <t xml:space="preserve">Realisasi 2024</t>
  </si>
  <si>
    <t xml:space="preserve">Realisasi 2025</t>
  </si>
  <si>
    <t xml:space="preserve">Target 2025</t>
  </si>
  <si>
    <t xml:space="preserve">Target 2026</t>
  </si>
  <si>
    <t xml:space="preserve">Target 2027</t>
  </si>
  <si>
    <t xml:space="preserve">Target 2028</t>
  </si>
  <si>
    <t xml:space="preserve">Target 2029</t>
  </si>
  <si>
    <t xml:space="preserve">Proyeksi 2029</t>
  </si>
  <si>
    <t xml:space="preserve">Status</t>
  </si>
  <si>
    <t xml:space="preserve">Alasan (bahasa sederhana)</t>
  </si>
  <si>
    <t xml:space="preserve">Saran AI (contoh)</t>
  </si>
  <si>
    <t xml:space="preserve">IKU-01</t>
  </si>
  <si>
    <t xml:space="preserve">Indeks Pembangunan Manusia</t>
  </si>
  <si>
    <t xml:space="preserve">IKU</t>
  </si>
  <si>
    <t xml:space="preserve">poin</t>
  </si>
  <si>
    <t xml:space="preserve">naik</t>
  </si>
  <si>
    <t xml:space="preserve">Kesehatan</t>
  </si>
  <si>
    <t xml:space="preserve">Perekonomian, SDA dan Sosial</t>
  </si>
  <si>
    <t xml:space="preserve">Lintas perangkat daerah</t>
  </si>
  <si>
    <t xml:space="preserve">BPS Kota Palembang</t>
  </si>
  <si>
    <t xml:space="preserve">Sedikit di bawah jalur target. Laju kenaikannya perlu dijaga.</t>
  </si>
  <si>
    <t xml:space="preserve">Periksa realisasi Program Pengelolaan Pendidikan dan Program Pemenuhan Upaya Kesehatan Perorangan dan Upaya Kesehatan Masyarakat di RKPD 2026. Monev mencatat: Daya tampung SMP negeri di beberapa kecamatan belum mencukupi.</t>
  </si>
  <si>
    <t xml:space="preserve">IKU-02</t>
  </si>
  <si>
    <t xml:space="preserve">Pertumbuhan Ekonomi</t>
  </si>
  <si>
    <t xml:space="preserve">%</t>
  </si>
  <si>
    <t xml:space="preserve">Perekonomian</t>
  </si>
  <si>
    <t xml:space="preserve">Pertumbuhan di bawah standar target dan cenderung datar sejak 2023.</t>
  </si>
  <si>
    <t xml:space="preserve">Periksa realisasi Program Pemberdayaan Usaha Menengah, Usaha Kecil, dan Usaha Mikro (UMKM) dan Program Peningkatan Daya Tarik Destinasi Pariwisata di RKPD 2026.</t>
  </si>
  <si>
    <t xml:space="preserve">IKU-03</t>
  </si>
  <si>
    <t xml:space="preserve">Indeks Gini</t>
  </si>
  <si>
    <t xml:space="preserve">turun</t>
  </si>
  <si>
    <t xml:space="preserve">Sedikit di bawah jalur target. Lajunya perlu dijaga agar target 2029 tercapai.</t>
  </si>
  <si>
    <t xml:space="preserve">Periksa realisasi Program Perencanaan, Pengendalian dan Evaluasi Pembangunan Daerah di RKPD 2026.</t>
  </si>
  <si>
    <t xml:space="preserve">IKU-04</t>
  </si>
  <si>
    <t xml:space="preserve">Indeks Kualitas Lingkungan Hidup</t>
  </si>
  <si>
    <t xml:space="preserve">Lingkungan Hidup</t>
  </si>
  <si>
    <t xml:space="preserve">Infrastruktur dan Pengembangan Wilayah</t>
  </si>
  <si>
    <t xml:space="preserve">Dinas Lingkungan Hidup dan Kebersihan</t>
  </si>
  <si>
    <t xml:space="preserve">Indeks Kualitas Lingkungan Hidup naik terlalu lambat. Dengan laju sekarang, target 2029 tidak tercapai.</t>
  </si>
  <si>
    <t xml:space="preserve">Periksa realisasi Program Pengelolaan Persampahan dan Program Pengendalian Pencemaran dan/atau Kerusakan Lingkungan Hidup di RKPD 2026. Monev mencatat: Kapasitas TPA mendekati batas; bank sampah belum merata.</t>
  </si>
  <si>
    <t xml:space="preserve">IKU-05</t>
  </si>
  <si>
    <t xml:space="preserve">Indeks Inovasi Daerah</t>
  </si>
  <si>
    <t xml:space="preserve">Riset dan Inovasi Daerah</t>
  </si>
  <si>
    <t xml:space="preserve">Bapperida Kota Palembang</t>
  </si>
  <si>
    <t xml:space="preserve">Indeks Inovasi Daerah naik terlalu lambat. Dengan laju sekarang, target 2029 tidak tercapai.</t>
  </si>
  <si>
    <t xml:space="preserve">Periksa realisasi Program Penelitian dan Pengembangan Daerah di RKPD 2026. Monev mencatat: Hasil kajian belum dijadwalkan masuk forum perencanaan.</t>
  </si>
  <si>
    <t xml:space="preserve">IKD-01</t>
  </si>
  <si>
    <t xml:space="preserve">Tingkat Kemiskinan</t>
  </si>
  <si>
    <t xml:space="preserve">IKD</t>
  </si>
  <si>
    <t xml:space="preserve">Sosial</t>
  </si>
  <si>
    <t xml:space="preserve">Dinas Sosial</t>
  </si>
  <si>
    <t xml:space="preserve">Angka kemiskinan turun terlalu lambat. Dengan laju sekarang, target 2029 tidak tercapai.</t>
  </si>
  <si>
    <t xml:space="preserve">Periksa realisasi Program Perlindungan dan Jaminan Sosial di RKPD 2026. Monev mencatat: Pemutakhiran data penerima bantuan belum selesai; sebagian penyaluran tertunda.</t>
  </si>
  <si>
    <t xml:space="preserve">IKD-02</t>
  </si>
  <si>
    <t xml:space="preserve">Tingkat Pengangguran Terbuka</t>
  </si>
  <si>
    <t xml:space="preserve">Tenaga Kerja</t>
  </si>
  <si>
    <t xml:space="preserve">Dinas Tenaga Kerja</t>
  </si>
  <si>
    <t xml:space="preserve">Hampir sesuai target, tetapi selisihnya tipis.</t>
  </si>
  <si>
    <t xml:space="preserve">Periksa realisasi Program Pelatihan Kerja dan Produktivitas Tenaga Kerja dan Program Penempatan Tenaga Kerja di RKPD 2026. Monev mencatat: Sebagian materi pelatihan belum sesuai kebutuhan industri.</t>
  </si>
  <si>
    <t xml:space="preserve">IKD-03</t>
  </si>
  <si>
    <t xml:space="preserve">Harapan Lama Sekolah</t>
  </si>
  <si>
    <t xml:space="preserve">tahun</t>
  </si>
  <si>
    <t xml:space="preserve">Pendidikan</t>
  </si>
  <si>
    <t xml:space="preserve">Dinas Pendidikan</t>
  </si>
  <si>
    <t xml:space="preserve">Sesuai jalur menuju target 2029.</t>
  </si>
  <si>
    <t xml:space="preserve">Tidak ada tindakan khusus. Lanjutkan pemantauan rutin.</t>
  </si>
  <si>
    <t xml:space="preserve">IKD-04</t>
  </si>
  <si>
    <t xml:space="preserve">Rata-rata Lama Sekolah</t>
  </si>
  <si>
    <t xml:space="preserve">IKD-05</t>
  </si>
  <si>
    <t xml:space="preserve">Angka Harapan Hidup</t>
  </si>
  <si>
    <t xml:space="preserve">Dinas Kesehatan</t>
  </si>
  <si>
    <t xml:space="preserve">IKD-06</t>
  </si>
  <si>
    <t xml:space="preserve">Prevalensi Stunting</t>
  </si>
  <si>
    <t xml:space="preserve">IKD-07</t>
  </si>
  <si>
    <t xml:space="preserve">PDRB per Kapita</t>
  </si>
  <si>
    <t xml:space="preserve">Rp juta</t>
  </si>
  <si>
    <t xml:space="preserve">IKD-08</t>
  </si>
  <si>
    <t xml:space="preserve">Proporsi Ruang Terbuka Hijau Publik</t>
  </si>
  <si>
    <t xml:space="preserve">Penataan Ruang</t>
  </si>
  <si>
    <t xml:space="preserve">Dinas PUPR</t>
  </si>
  <si>
    <t xml:space="preserve">Proporsi Ruang Terbuka Hijau Publik naik terlalu lambat. Dengan laju sekarang, target 2029 tidak tercapai.</t>
  </si>
  <si>
    <t xml:space="preserve">Periksa realisasi Program Penyelenggaraan Penataan Ruang di RKPD 2026. Monev mencatat: Pengadaan lahan RTH publik belum terealisasi.</t>
  </si>
  <si>
    <t xml:space="preserve">IKK-01</t>
  </si>
  <si>
    <t xml:space="preserve">Persentase Jalan Kondisi Mantap</t>
  </si>
  <si>
    <t xml:space="preserve">IKK</t>
  </si>
  <si>
    <t xml:space="preserve">Pekerjaan Umum</t>
  </si>
  <si>
    <t xml:space="preserve">IKK-02</t>
  </si>
  <si>
    <t xml:space="preserve">Persentase Kawasan Tergenang</t>
  </si>
  <si>
    <t xml:space="preserve">Kawasan tergenang masih di atas batas target dan berkurang terlalu lambat.</t>
  </si>
  <si>
    <t xml:space="preserve">Periksa realisasi Program Pengelolaan dan Pengembangan Sistem Drainase dan Program Pengelolaan Sumber Daya Air (SDA) di RKPD 2026. Monev mencatat: Pembebasan lahan saluran primer tertunda; dua paket pekerjaan bergeser ke 2026.</t>
  </si>
  <si>
    <t xml:space="preserve">IKK-03</t>
  </si>
  <si>
    <t xml:space="preserve">Rumah Tangga dengan Akses Air Minum Layak</t>
  </si>
  <si>
    <t xml:space="preserve">Perumahan dan Kawasan Permukiman</t>
  </si>
  <si>
    <t xml:space="preserve">Dinas Perkim</t>
  </si>
  <si>
    <t xml:space="preserve">IKK-04</t>
  </si>
  <si>
    <t xml:space="preserve">Rumah Tangga dengan Akses Sanitasi Layak</t>
  </si>
  <si>
    <t xml:space="preserve">IKK-05</t>
  </si>
  <si>
    <t xml:space="preserve">Luas Kawasan Permukiman Kumuh</t>
  </si>
  <si>
    <t xml:space="preserve">ha</t>
  </si>
  <si>
    <t xml:space="preserve">Periksa realisasi Program Kawasan Permukiman di RKPD 2026. Monev mencatat: Penanganan kawasan kumuh tepian sungai terkendala status lahan.</t>
  </si>
  <si>
    <t xml:space="preserve">IKK-06</t>
  </si>
  <si>
    <t xml:space="preserve">Persentase Sampah Terkelola</t>
  </si>
  <si>
    <t xml:space="preserve">Periksa realisasi Program Pengelolaan Persampahan di RKPD 2026. Monev mencatat: Kapasitas TPA mendekati batas; bank sampah belum merata.</t>
  </si>
  <si>
    <t xml:space="preserve">IKK-07</t>
  </si>
  <si>
    <t xml:space="preserve">Cakupan Imunisasi Dasar Lengkap</t>
  </si>
  <si>
    <t xml:space="preserve">IKK-08</t>
  </si>
  <si>
    <t xml:space="preserve">Angka Kematian Ibu</t>
  </si>
  <si>
    <t xml:space="preserve">per 100.000 KH</t>
  </si>
  <si>
    <t xml:space="preserve">IKK-09</t>
  </si>
  <si>
    <t xml:space="preserve">Angka Partisipasi Murni SMP</t>
  </si>
  <si>
    <t xml:space="preserve">Periksa realisasi Program Pengelolaan Pendidikan di RKPD 2026. Monev mencatat: Daya tampung SMP negeri di beberapa kecamatan belum mencukupi.</t>
  </si>
  <si>
    <t xml:space="preserve">IKK-10</t>
  </si>
  <si>
    <t xml:space="preserve">Persentase Pencari Kerja yang Ditempatkan</t>
  </si>
  <si>
    <t xml:space="preserve">IKK-11</t>
  </si>
  <si>
    <t xml:space="preserve">Persentase PPKS yang Mendapat Bantuan Sosial</t>
  </si>
  <si>
    <t xml:space="preserve">Persentase PPKS yang Mendapat Bantuan Sosial naik terlalu lambat. Dengan laju sekarang, target 2029 tidak tercapai.</t>
  </si>
  <si>
    <t xml:space="preserve">Periksa realisasi Program Perlindungan dan Jaminan Sosial dan Program Rehabilitasi Sosial di RKPD 2026. Monev mencatat: Pemutakhiran data penerima bantuan belum selesai; sebagian penyaluran tertunda.</t>
  </si>
  <si>
    <t xml:space="preserve">IKK-12</t>
  </si>
  <si>
    <t xml:space="preserve">Persentase UMKM Naik Kelas</t>
  </si>
  <si>
    <t xml:space="preserve">Koperasi dan UKM</t>
  </si>
  <si>
    <t xml:space="preserve">Dinas Koperasi dan UKM</t>
  </si>
  <si>
    <t xml:space="preserve">IKK-13</t>
  </si>
  <si>
    <t xml:space="preserve">Jumlah Kunjungan Wisatawan</t>
  </si>
  <si>
    <t xml:space="preserve">juta orang</t>
  </si>
  <si>
    <t xml:space="preserve">Pariwisata</t>
  </si>
  <si>
    <t xml:space="preserve">Dinas Pariwisata</t>
  </si>
  <si>
    <t xml:space="preserve">IKK-14</t>
  </si>
  <si>
    <t xml:space="preserve">Skor Pola Pangan Harapan</t>
  </si>
  <si>
    <t xml:space="preserve">Pangan</t>
  </si>
  <si>
    <t xml:space="preserve">Dinas Ketahanan Pangan</t>
  </si>
  <si>
    <t xml:space="preserve">Periksa realisasi Program Peningkatan Diversifikasi dan Ketahanan Pangan Masyarakat di RKPD 2026. Monev mencatat: Sosialisasi pangan beragam belum menjangkau seluruh kelurahan.</t>
  </si>
  <si>
    <t xml:space="preserve">IKK-15</t>
  </si>
  <si>
    <t xml:space="preserve">Persentase Layanan Angkutan Umum Terintegrasi</t>
  </si>
  <si>
    <t xml:space="preserve">Perhubungan</t>
  </si>
  <si>
    <t xml:space="preserve">Dinas Perhubungan</t>
  </si>
  <si>
    <t xml:space="preserve">IKK-16</t>
  </si>
  <si>
    <t xml:space="preserve">Indeks SPBE</t>
  </si>
  <si>
    <t xml:space="preserve">Komunikasi dan Informatika</t>
  </si>
  <si>
    <t xml:space="preserve">Dinas Komunikasi dan Informatika</t>
  </si>
  <si>
    <t xml:space="preserve">IKK-17</t>
  </si>
  <si>
    <t xml:space="preserve">Jumlah Kajian yang Dimanfaatkan dalam Perencanaan</t>
  </si>
  <si>
    <t xml:space="preserve">dokumen</t>
  </si>
  <si>
    <t xml:space="preserve">Jumlah Kajian yang Dimanfaatkan dalam Perencanaan naik terlalu lambat. Dengan laju sekarang, target 2029 tidak tercapai.</t>
  </si>
  <si>
    <t xml:space="preserve">Data simulasi. Nama program mengikuti nomenklatur Kepmendagri 050; pagu dan realisasi adalah contoh.</t>
  </si>
  <si>
    <t xml:space="preserve">ID</t>
  </si>
  <si>
    <t xml:space="preserve">Program</t>
  </si>
  <si>
    <t xml:space="preserve">Indikator terkait</t>
  </si>
  <si>
    <t xml:space="preserve">Pagu indikatif 2026 (Rp juta)</t>
  </si>
  <si>
    <t xml:space="preserve">Realisasi anggaran 2025</t>
  </si>
  <si>
    <t xml:space="preserve">Catatan Monev (kendala)</t>
  </si>
  <si>
    <t xml:space="preserve">P01</t>
  </si>
  <si>
    <t xml:space="preserve">Program Perlindungan dan Jaminan Sosial</t>
  </si>
  <si>
    <t xml:space="preserve">IKD-01, IKK-11</t>
  </si>
  <si>
    <t xml:space="preserve">Pemutakhiran data penerima bantuan belum selesai; sebagian penyaluran tertunda.</t>
  </si>
  <si>
    <t xml:space="preserve">P02</t>
  </si>
  <si>
    <t xml:space="preserve">Program Rehabilitasi Sosial</t>
  </si>
  <si>
    <t xml:space="preserve">Kapasitas panti dan pendamping sosial terbatas.</t>
  </si>
  <si>
    <t xml:space="preserve">P03</t>
  </si>
  <si>
    <t xml:space="preserve">Program Pelatihan Kerja dan Produktivitas Tenaga Kerja</t>
  </si>
  <si>
    <t xml:space="preserve">IKD-02, IKK-10</t>
  </si>
  <si>
    <t xml:space="preserve">Sebagian materi pelatihan belum sesuai kebutuhan industri.</t>
  </si>
  <si>
    <t xml:space="preserve">P04</t>
  </si>
  <si>
    <t xml:space="preserve">Program Penempatan Tenaga Kerja</t>
  </si>
  <si>
    <t xml:space="preserve">—</t>
  </si>
  <si>
    <t xml:space="preserve">P05</t>
  </si>
  <si>
    <t xml:space="preserve">Program Pengelolaan Pendidikan</t>
  </si>
  <si>
    <t xml:space="preserve">IKD-03, IKD-04, IKK-09, IKU-01</t>
  </si>
  <si>
    <t xml:space="preserve">Daya tampung SMP negeri di beberapa kecamatan belum mencukupi.</t>
  </si>
  <si>
    <t xml:space="preserve">P06</t>
  </si>
  <si>
    <t xml:space="preserve">Program Pendidik dan Tenaga Kependidikan</t>
  </si>
  <si>
    <t xml:space="preserve">IKD-03, IKD-04</t>
  </si>
  <si>
    <t xml:space="preserve">P07</t>
  </si>
  <si>
    <t xml:space="preserve">Program Pemenuhan Upaya Kesehatan Perorangan dan Upaya Kesehatan Masyarakat</t>
  </si>
  <si>
    <t xml:space="preserve">IKD-05, IKD-06, IKK-07, IKK-08, IKU-01</t>
  </si>
  <si>
    <t xml:space="preserve">Pelaporan imunisasi dari fasilitas swasta belum lengkap.</t>
  </si>
  <si>
    <t xml:space="preserve">P08</t>
  </si>
  <si>
    <t xml:space="preserve">Program Peningkatan Kapasitas Sumber Daya Manusia Kesehatan</t>
  </si>
  <si>
    <t xml:space="preserve">IKK-08, IKD-05</t>
  </si>
  <si>
    <t xml:space="preserve">P09</t>
  </si>
  <si>
    <t xml:space="preserve">Program Pemberdayaan Usaha Menengah, Usaha Kecil, dan Usaha Mikro (UMKM)</t>
  </si>
  <si>
    <t xml:space="preserve">IKK-12, IKU-02</t>
  </si>
  <si>
    <t xml:space="preserve">P10</t>
  </si>
  <si>
    <t xml:space="preserve">Program Peningkatan Daya Tarik Destinasi Pariwisata</t>
  </si>
  <si>
    <t xml:space="preserve">IKK-13, IKU-02</t>
  </si>
  <si>
    <t xml:space="preserve">P11</t>
  </si>
  <si>
    <t xml:space="preserve">Program Pemasaran Pariwisata</t>
  </si>
  <si>
    <t xml:space="preserve">P12</t>
  </si>
  <si>
    <t xml:space="preserve">Program Peningkatan Diversifikasi dan Ketahanan Pangan Masyarakat</t>
  </si>
  <si>
    <t xml:space="preserve">Sosialisasi pangan beragam belum menjangkau seluruh kelurahan.</t>
  </si>
  <si>
    <t xml:space="preserve">P13</t>
  </si>
  <si>
    <t xml:space="preserve">Program Penyelenggaraan Jalan</t>
  </si>
  <si>
    <t xml:space="preserve">P14</t>
  </si>
  <si>
    <t xml:space="preserve">Program Pengelolaan dan Pengembangan Sistem Drainase</t>
  </si>
  <si>
    <t xml:space="preserve">Pembebasan lahan saluran primer tertunda; dua paket pekerjaan bergeser ke 2026.</t>
  </si>
  <si>
    <t xml:space="preserve">P15</t>
  </si>
  <si>
    <t xml:space="preserve">Program Pengelolaan Sumber Daya Air (SDA)</t>
  </si>
  <si>
    <t xml:space="preserve">Normalisasi anak sungai baru berjalan di 3 dari 7 lokasi.</t>
  </si>
  <si>
    <t xml:space="preserve">P16</t>
  </si>
  <si>
    <t xml:space="preserve">Program Penyelenggaraan Penataan Ruang</t>
  </si>
  <si>
    <t xml:space="preserve">Pengadaan lahan RTH publik belum terealisasi.</t>
  </si>
  <si>
    <t xml:space="preserve">P17</t>
  </si>
  <si>
    <t xml:space="preserve">Program Pengelolaan dan Pengembangan Sistem Penyediaan Air Minum</t>
  </si>
  <si>
    <t xml:space="preserve">P18</t>
  </si>
  <si>
    <t xml:space="preserve">Program Pengelolaan dan Pengembangan Sistem Air Limbah</t>
  </si>
  <si>
    <t xml:space="preserve">P19</t>
  </si>
  <si>
    <t xml:space="preserve">Program Kawasan Permukiman</t>
  </si>
  <si>
    <t xml:space="preserve">Penanganan kawasan kumuh tepian sungai terkendala status lahan.</t>
  </si>
  <si>
    <t xml:space="preserve">P20</t>
  </si>
  <si>
    <t xml:space="preserve">Program Pengelolaan Persampahan</t>
  </si>
  <si>
    <t xml:space="preserve">IKK-06, IKU-04</t>
  </si>
  <si>
    <t xml:space="preserve">Kapasitas TPA mendekati batas; bank sampah belum merata.</t>
  </si>
  <si>
    <t xml:space="preserve">P21</t>
  </si>
  <si>
    <t xml:space="preserve">Program Pengendalian Pencemaran dan/atau Kerusakan Lingkungan Hidup</t>
  </si>
  <si>
    <t xml:space="preserve">Pemantauan kualitas air dan udara belum rutin di semua titik.</t>
  </si>
  <si>
    <t xml:space="preserve">P22</t>
  </si>
  <si>
    <t xml:space="preserve">Program Penyelenggaraan Lalu Lintas dan Angkutan Jalan (LLAJ)</t>
  </si>
  <si>
    <t xml:space="preserve">P23</t>
  </si>
  <si>
    <t xml:space="preserve">Program Aplikasi Informatika</t>
  </si>
  <si>
    <t xml:space="preserve">P24</t>
  </si>
  <si>
    <t xml:space="preserve">Program Penelitian dan Pengembangan Daerah</t>
  </si>
  <si>
    <t xml:space="preserve">IKU-05, IKK-17</t>
  </si>
  <si>
    <t xml:space="preserve">Hasil kajian belum dijadwalkan masuk forum perencanaan.</t>
  </si>
  <si>
    <t xml:space="preserve">P25</t>
  </si>
  <si>
    <t xml:space="preserve">Program Perencanaan, Pengendalian dan Evaluasi Pembangunan Daerah</t>
  </si>
  <si>
    <t xml:space="preserve">IKU-01, IKU-02, IKU-03, IKD-07</t>
  </si>
  <si>
    <t xml:space="preserve">Total pagu</t>
  </si>
  <si>
    <t xml:space="preserve">Rata-rata realisasi</t>
  </si>
  <si>
    <t xml:space="preserve">Data simulasi. Nomor dan tanggal penetapan dokumen daerah sengaja dikosongkan; regulasi pusat memakai nomor sebenarnya.</t>
  </si>
  <si>
    <t xml:space="preserve">Judul</t>
  </si>
  <si>
    <t xml:space="preserve">Pemilik</t>
  </si>
  <si>
    <t xml:space="preserve">Tahun / periode</t>
  </si>
  <si>
    <t xml:space="preserve">Nomor penetapan</t>
  </si>
  <si>
    <t xml:space="preserve">Tanggal penetapan</t>
  </si>
  <si>
    <t xml:space="preserve">Versi</t>
  </si>
  <si>
    <t xml:space="preserve">Diunggah</t>
  </si>
  <si>
    <t xml:space="preserve">Peran dalam pemeriksaan</t>
  </si>
  <si>
    <t xml:space="preserve">rpjpd</t>
  </si>
  <si>
    <t xml:space="preserve">RPJPD</t>
  </si>
  <si>
    <t xml:space="preserve">RPJPD Kota Palembang 2025–2045</t>
  </si>
  <si>
    <t xml:space="preserve">Pemerintah Kota Palembang</t>
  </si>
  <si>
    <t xml:space="preserve">2025–2045</t>
  </si>
  <si>
    <t xml:space="preserve">[nomor penetapan]</t>
  </si>
  <si>
    <t xml:space="preserve">[tanggal]</t>
  </si>
  <si>
    <t xml:space="preserve">Ditetapkan</t>
  </si>
  <si>
    <t xml:space="preserve">1.0</t>
  </si>
  <si>
    <t xml:space="preserve">12 Feb 2025</t>
  </si>
  <si>
    <t xml:space="preserve">rpjmd</t>
  </si>
  <si>
    <t xml:space="preserve">RPJMD</t>
  </si>
  <si>
    <t xml:space="preserve">RPJMD Kota Palembang 2025–2029</t>
  </si>
  <si>
    <t xml:space="preserve">2025–2029</t>
  </si>
  <si>
    <t xml:space="preserve">3 Sep 2025</t>
  </si>
  <si>
    <t xml:space="preserve">Ya</t>
  </si>
  <si>
    <t xml:space="preserve">rkpd27</t>
  </si>
  <si>
    <t xml:space="preserve">RKPD</t>
  </si>
  <si>
    <t xml:space="preserve">Rancangan RKPD Kota Palembang 2027</t>
  </si>
  <si>
    <t xml:space="preserve">2027</t>
  </si>
  <si>
    <t xml:space="preserve">Rancangan</t>
  </si>
  <si>
    <t xml:space="preserve">0.3</t>
  </si>
  <si>
    <t xml:space="preserve">9 Okt 2026</t>
  </si>
  <si>
    <t xml:space="preserve">rkpd26</t>
  </si>
  <si>
    <t xml:space="preserve">RKPD Kota Palembang 2026</t>
  </si>
  <si>
    <t xml:space="preserve">2026</t>
  </si>
  <si>
    <t xml:space="preserve">20 Jun 2025</t>
  </si>
  <si>
    <t xml:space="preserve">rkpd25</t>
  </si>
  <si>
    <t xml:space="preserve">RKPD Kota Palembang 2025</t>
  </si>
  <si>
    <t xml:space="preserve">2025</t>
  </si>
  <si>
    <t xml:space="preserve">18 Jun 2024</t>
  </si>
  <si>
    <t xml:space="preserve">dssd25</t>
  </si>
  <si>
    <t xml:space="preserve">DSSD</t>
  </si>
  <si>
    <t xml:space="preserve">DSSD Kota Palembang 2025</t>
  </si>
  <si>
    <t xml:space="preserve">Bapperida dan seluruh PD</t>
  </si>
  <si>
    <t xml:space="preserve">Final</t>
  </si>
  <si>
    <t xml:space="preserve">22 Mei 2026</t>
  </si>
  <si>
    <t xml:space="preserve">dssd24</t>
  </si>
  <si>
    <t xml:space="preserve">DSSD Kota Palembang 2024</t>
  </si>
  <si>
    <t xml:space="preserve">2024</t>
  </si>
  <si>
    <t xml:space="preserve">20 Mei 2025</t>
  </si>
  <si>
    <t xml:space="preserve">monev26q2</t>
  </si>
  <si>
    <t xml:space="preserve">Monev</t>
  </si>
  <si>
    <t xml:space="preserve">Monev RKPD Triwulan II 2026</t>
  </si>
  <si>
    <t xml:space="preserve">Triwulan II 2026</t>
  </si>
  <si>
    <t xml:space="preserve">28 Jul 2026</t>
  </si>
  <si>
    <t xml:space="preserve">monev26q1</t>
  </si>
  <si>
    <t xml:space="preserve">Monev RKPD Triwulan I 2026</t>
  </si>
  <si>
    <t xml:space="preserve">Triwulan I 2026</t>
  </si>
  <si>
    <t xml:space="preserve">24 Apr 2026</t>
  </si>
  <si>
    <t xml:space="preserve">monev25</t>
  </si>
  <si>
    <t xml:space="preserve">Monev RKPD Tahunan 2025</t>
  </si>
  <si>
    <t xml:space="preserve">17 Feb 2026</t>
  </si>
  <si>
    <t xml:space="preserve">renstra-dinsos</t>
  </si>
  <si>
    <t xml:space="preserve">Renstra</t>
  </si>
  <si>
    <t xml:space="preserve">Renstra Dinas Sosial 2025–2029</t>
  </si>
  <si>
    <t xml:space="preserve">2 Okt 2025</t>
  </si>
  <si>
    <t xml:space="preserve">Diperiksa</t>
  </si>
  <si>
    <t xml:space="preserve">renstra-disnaker</t>
  </si>
  <si>
    <t xml:space="preserve">Renstra Dinas Tenaga Kerja 2025–2029</t>
  </si>
  <si>
    <t xml:space="preserve">6 Okt 2025</t>
  </si>
  <si>
    <t xml:space="preserve">renstra-disdik</t>
  </si>
  <si>
    <t xml:space="preserve">Renstra Dinas Pendidikan 2025–2029</t>
  </si>
  <si>
    <t xml:space="preserve">7 Okt 2025</t>
  </si>
  <si>
    <t xml:space="preserve">renstra-dinkes</t>
  </si>
  <si>
    <t xml:space="preserve">Renstra Dinas Kesehatan 2025–2029</t>
  </si>
  <si>
    <t xml:space="preserve">10 Okt 2025</t>
  </si>
  <si>
    <t xml:space="preserve">renstra-dinkop</t>
  </si>
  <si>
    <t xml:space="preserve">Renstra Dinas Koperasi dan UKM 2025–2029</t>
  </si>
  <si>
    <t xml:space="preserve">13 Okt 2025</t>
  </si>
  <si>
    <t xml:space="preserve">renstra-dispar</t>
  </si>
  <si>
    <t xml:space="preserve">Renstra Dinas Pariwisata 2025–2029</t>
  </si>
  <si>
    <t xml:space="preserve">14 Okt 2025</t>
  </si>
  <si>
    <t xml:space="preserve">renstra-dkp</t>
  </si>
  <si>
    <t xml:space="preserve">Renstra Dinas Ketahanan Pangan 2025–2029</t>
  </si>
  <si>
    <t xml:space="preserve">15 Okt 2025</t>
  </si>
  <si>
    <t xml:space="preserve">renstra-pupr</t>
  </si>
  <si>
    <t xml:space="preserve">Renstra Dinas PUPR 2025–2029</t>
  </si>
  <si>
    <t xml:space="preserve">renstra-perkim</t>
  </si>
  <si>
    <t xml:space="preserve">Renstra Dinas Perkim 2025–2029</t>
  </si>
  <si>
    <t xml:space="preserve">16 Okt 2025</t>
  </si>
  <si>
    <t xml:space="preserve">renstra-dlhk</t>
  </si>
  <si>
    <t xml:space="preserve">Renstra Dinas Lingkungan Hidup dan Kebersihan 2025–2029</t>
  </si>
  <si>
    <t xml:space="preserve">17 Okt 2025</t>
  </si>
  <si>
    <t xml:space="preserve">renstra-dishub</t>
  </si>
  <si>
    <t xml:space="preserve">Renstra Dinas Perhubungan 2025–2029</t>
  </si>
  <si>
    <t xml:space="preserve">20 Okt 2025</t>
  </si>
  <si>
    <t xml:space="preserve">renstra-kominfo</t>
  </si>
  <si>
    <t xml:space="preserve">Renstra Dinas Komunikasi dan Informatika 2025–2029</t>
  </si>
  <si>
    <t xml:space="preserve">21 Okt 2025</t>
  </si>
  <si>
    <t xml:space="preserve">renja-dinsos</t>
  </si>
  <si>
    <t xml:space="preserve">Renja</t>
  </si>
  <si>
    <t xml:space="preserve">Renja Dinas Sosial 2026</t>
  </si>
  <si>
    <t xml:space="preserve">2 Jul 2026</t>
  </si>
  <si>
    <t xml:space="preserve">renja-disnaker</t>
  </si>
  <si>
    <t xml:space="preserve">Renja Dinas Tenaga Kerja 2026</t>
  </si>
  <si>
    <t xml:space="preserve">26 Jun 2026</t>
  </si>
  <si>
    <t xml:space="preserve">renja-disdik</t>
  </si>
  <si>
    <t xml:space="preserve">Renja Dinas Pendidikan 2026</t>
  </si>
  <si>
    <t xml:space="preserve">30 Jun 2026</t>
  </si>
  <si>
    <t xml:space="preserve">renja-dinkes</t>
  </si>
  <si>
    <t xml:space="preserve">Renja Dinas Kesehatan 2026</t>
  </si>
  <si>
    <t xml:space="preserve">1 Jul 2026</t>
  </si>
  <si>
    <t xml:space="preserve">renja-dinkop</t>
  </si>
  <si>
    <t xml:space="preserve">Renja Dinas Koperasi dan UKM 2026</t>
  </si>
  <si>
    <t xml:space="preserve">3 Jul 2026</t>
  </si>
  <si>
    <t xml:space="preserve">renja-dispar</t>
  </si>
  <si>
    <t xml:space="preserve">Renja Dinas Pariwisata 2026</t>
  </si>
  <si>
    <t xml:space="preserve">29 Jun 2026</t>
  </si>
  <si>
    <t xml:space="preserve">renja-dkp</t>
  </si>
  <si>
    <t xml:space="preserve">Renja Dinas Ketahanan Pangan 2026</t>
  </si>
  <si>
    <t xml:space="preserve">6 Jul 2026</t>
  </si>
  <si>
    <t xml:space="preserve">renja-pupr</t>
  </si>
  <si>
    <t xml:space="preserve">Renja Dinas PUPR 2026</t>
  </si>
  <si>
    <t xml:space="preserve">7 Jul 2026</t>
  </si>
  <si>
    <t xml:space="preserve">renja-perkim</t>
  </si>
  <si>
    <t xml:space="preserve">Renja Dinas Perkim 2026</t>
  </si>
  <si>
    <t xml:space="preserve">renja-dlhk</t>
  </si>
  <si>
    <t xml:space="preserve">Renja Dinas Lingkungan Hidup dan Kebersihan 2026</t>
  </si>
  <si>
    <t xml:space="preserve">8 Jul 2026</t>
  </si>
  <si>
    <t xml:space="preserve">renja-dishub</t>
  </si>
  <si>
    <t xml:space="preserve">Renja Dinas Perhubungan 2026</t>
  </si>
  <si>
    <t xml:space="preserve">renja-kominfo</t>
  </si>
  <si>
    <t xml:space="preserve">Renja Dinas Komunikasi dan Informatika 2026</t>
  </si>
  <si>
    <t xml:space="preserve">monevpd-dinsos</t>
  </si>
  <si>
    <t xml:space="preserve">Monev PD</t>
  </si>
  <si>
    <t xml:space="preserve">Monev Renja Dinas Sosial Triwulan II 2026</t>
  </si>
  <si>
    <t xml:space="preserve">25 Jul 2026</t>
  </si>
  <si>
    <t xml:space="preserve">monevpd-dinkes</t>
  </si>
  <si>
    <t xml:space="preserve">Monev Renja Dinas Kesehatan Triwulan II 2026</t>
  </si>
  <si>
    <t xml:space="preserve">monevpd-disdik</t>
  </si>
  <si>
    <t xml:space="preserve">Monev Renja Dinas Pendidikan Triwulan II 2026</t>
  </si>
  <si>
    <t xml:space="preserve">monevpd-pupr</t>
  </si>
  <si>
    <t xml:space="preserve">Monev Renja Dinas PUPR Triwulan II 2026</t>
  </si>
  <si>
    <t xml:space="preserve">monevpd-perkim</t>
  </si>
  <si>
    <t xml:space="preserve">Monev Renja Dinas Perkim Triwulan II 2026</t>
  </si>
  <si>
    <t xml:space="preserve">monevpd-dlhk</t>
  </si>
  <si>
    <t xml:space="preserve">Monev Renja Dinas Lingkungan Hidup dan Kebersihan Triwulan II 2026</t>
  </si>
  <si>
    <t xml:space="preserve">uu25</t>
  </si>
  <si>
    <t xml:space="preserve">Regulasi</t>
  </si>
  <si>
    <t xml:space="preserve">UU No. 25 Tahun 2004 tentang Sistem Perencanaan Pembangunan Nasional</t>
  </si>
  <si>
    <t xml:space="preserve">Pemerintah Pusat</t>
  </si>
  <si>
    <t xml:space="preserve">2004</t>
  </si>
  <si>
    <t xml:space="preserve">UU No. 25 Tahun 2004</t>
  </si>
  <si>
    <t xml:space="preserve">Berlaku</t>
  </si>
  <si>
    <t xml:space="preserve">1 Feb 2025</t>
  </si>
  <si>
    <t xml:space="preserve">uu23</t>
  </si>
  <si>
    <t xml:space="preserve">UU No. 23 Tahun 2014 tentang Pemerintahan Daerah</t>
  </si>
  <si>
    <t xml:space="preserve">2014</t>
  </si>
  <si>
    <t xml:space="preserve">UU No. 23 Tahun 2014</t>
  </si>
  <si>
    <t xml:space="preserve">pp17</t>
  </si>
  <si>
    <t xml:space="preserve">PP No. 17 Tahun 2017 tentang Sinkronisasi Proses Perencanaan dan Penganggaran Pembangunan Nasional</t>
  </si>
  <si>
    <t xml:space="preserve">2017</t>
  </si>
  <si>
    <t xml:space="preserve">PP No. 17 Tahun 2017</t>
  </si>
  <si>
    <t xml:space="preserve">pmdn86</t>
  </si>
  <si>
    <t xml:space="preserve">Permendagri No. 86 Tahun 2017 tentang Tata Cara Perencanaan, Pengendalian dan Evaluasi Pembangunan Daerah</t>
  </si>
  <si>
    <t xml:space="preserve">Kementerian Dalam Negeri</t>
  </si>
  <si>
    <t xml:space="preserve">Permendagri No. 86 Tahun 2017</t>
  </si>
  <si>
    <t xml:space="preserve">perpres39</t>
  </si>
  <si>
    <t xml:space="preserve">Perpres No. 39 Tahun 2019 tentang Satu Data Indonesia</t>
  </si>
  <si>
    <t xml:space="preserve">2019</t>
  </si>
  <si>
    <t xml:space="preserve">Perpres No. 39 Tahun 2019</t>
  </si>
  <si>
    <t xml:space="preserve">pmdn90</t>
  </si>
  <si>
    <t xml:space="preserve">Permendagri No. 90 Tahun 2019 tentang Klasifikasi, Kodefikasi, dan Nomenklatur Perencanaan Pembangunan dan Keuangan Daerah</t>
  </si>
  <si>
    <t xml:space="preserve">Permendagri No. 90 Tahun 2019</t>
  </si>
  <si>
    <t xml:space="preserve">Data simulasi. Beberapa perbedaan sengaja dibuat untuk menguji fitur pemeriksaan dokumen.</t>
  </si>
  <si>
    <t xml:space="preserve">Dokumen</t>
  </si>
  <si>
    <t xml:space="preserve">Kode indikator</t>
  </si>
  <si>
    <t xml:space="preserve">Indikator di dokumen</t>
  </si>
  <si>
    <t xml:space="preserve">Satuan di dokumen</t>
  </si>
  <si>
    <t xml:space="preserve">Jenis target</t>
  </si>
  <si>
    <t xml:space="preserve">Nilai di dokumen</t>
  </si>
  <si>
    <t xml:space="preserve">Nilai rujukan</t>
  </si>
  <si>
    <t xml:space="preserve">Dokumen rujukan</t>
  </si>
  <si>
    <t xml:space="preserve">Halaman</t>
  </si>
  <si>
    <t xml:space="preserve">Hasil pemeriksaan</t>
  </si>
  <si>
    <t xml:space="preserve">Konsisten</t>
  </si>
  <si>
    <t xml:space="preserve">Beda target</t>
  </si>
  <si>
    <t xml:space="preserve">Persentase Luas Genangan</t>
  </si>
  <si>
    <t xml:space="preserve">Nama tidak cocok</t>
  </si>
  <si>
    <t xml:space="preserve">ton/hari</t>
  </si>
  <si>
    <t xml:space="preserve">Satuan berbeda</t>
  </si>
  <si>
    <t xml:space="preserve">(tidak dimuat)</t>
  </si>
  <si>
    <t xml:space="preserve">Tidak dimuat</t>
  </si>
  <si>
    <t xml:space="preserve">Data simulasi. Hasil pemeriksaan otomatis saat dokumen diunggah.</t>
  </si>
  <si>
    <t xml:space="preserve">Dokumen diperiksa</t>
  </si>
  <si>
    <t xml:space="preserve">Jenis temuan</t>
  </si>
  <si>
    <t xml:space="preserve">Temuan</t>
  </si>
  <si>
    <t xml:space="preserve">Yang dibandingkan</t>
  </si>
  <si>
    <t xml:space="preserve">Hal. rujukan</t>
  </si>
  <si>
    <t xml:space="preserve">Hal. dokumen</t>
  </si>
  <si>
    <t xml:space="preserve">Status tinjauan</t>
  </si>
  <si>
    <t xml:space="preserve">Catatan AI (contoh)</t>
  </si>
  <si>
    <t xml:space="preserve">F1</t>
  </si>
  <si>
    <t xml:space="preserve">Target 2029 berbeda dengan RPJMD</t>
  </si>
  <si>
    <t xml:space="preserve">hal. 227</t>
  </si>
  <si>
    <t xml:space="preserve">10,0%</t>
  </si>
  <si>
    <t xml:space="preserve">hal. 80</t>
  </si>
  <si>
    <t xml:space="preserve">11,0%</t>
  </si>
  <si>
    <t xml:space="preserve">Menunggu tinjauan</t>
  </si>
  <si>
    <t xml:space="preserve">Target di Renstra lebih rendah dari dokumen rujukan (11,0% dibanding 10,0%). Perbedaan bisa sah bila ada perubahan rujukan atau penyesuaian kewenangan. Mohon dikonfirmasi ke Dinas Kesehatan.</t>
  </si>
  <si>
    <t xml:space="preserve">F2</t>
  </si>
  <si>
    <t xml:space="preserve">hal. 259</t>
  </si>
  <si>
    <t xml:space="preserve">3,50 juta orang</t>
  </si>
  <si>
    <t xml:space="preserve">hal. 79</t>
  </si>
  <si>
    <t xml:space="preserve">4,00 juta orang</t>
  </si>
  <si>
    <t xml:space="preserve">Target di Renstra lebih tinggi ambisinya dari dokumen rujukan (4,00 juta orang dibanding 3,50 juta orang). Perbedaan bisa sah bila ada perubahan rujukan atau penyesuaian kewenangan. Mohon dikonfirmasi ke Dinas Pariwisata.</t>
  </si>
  <si>
    <t xml:space="preserve">F3</t>
  </si>
  <si>
    <t xml:space="preserve">hal. 233</t>
  </si>
  <si>
    <t xml:space="preserve">90,00%</t>
  </si>
  <si>
    <t xml:space="preserve">hal. 74</t>
  </si>
  <si>
    <t xml:space="preserve">88,00%</t>
  </si>
  <si>
    <t xml:space="preserve">Target di Renstra lebih rendah dari dokumen rujukan (88,00% dibanding 90,00%). Perbedaan bisa sah bila ada perubahan rujukan atau penyesuaian kewenangan. Mohon dikonfirmasi ke Dinas PUPR.</t>
  </si>
  <si>
    <t xml:space="preserve">F4</t>
  </si>
  <si>
    <t xml:space="preserve">Indikator tidak ada di daftar induk</t>
  </si>
  <si>
    <t xml:space="preserve">Nama indikator</t>
  </si>
  <si>
    <t xml:space="preserve">Daftar indikator induk</t>
  </si>
  <si>
    <t xml:space="preserve">Kemiripan tertinggi</t>
  </si>
  <si>
    <t xml:space="preserve">hal. 75</t>
  </si>
  <si>
    <t xml:space="preserve">Nama berbeda, tetapi definisi dan satuannya serupa. Kemungkinan indikator yang sama. Konfirmasi untuk menautkannya ke indikator induk.</t>
  </si>
  <si>
    <t xml:space="preserve">F5</t>
  </si>
  <si>
    <t xml:space="preserve">Satuan indikator berbeda dengan RPJMD</t>
  </si>
  <si>
    <t xml:space="preserve">hal. 245</t>
  </si>
  <si>
    <t xml:space="preserve">RPJMD memakai satuan %, sedangkan Renstra memakai ton/hari. Angka tidak bisa dibandingkan sebelum satuannya diseragamkan.</t>
  </si>
  <si>
    <t xml:space="preserve">F6</t>
  </si>
  <si>
    <t xml:space="preserve">Target 2026 berbeda dengan RKPD 2026</t>
  </si>
  <si>
    <t xml:space="preserve">hal. 115</t>
  </si>
  <si>
    <t xml:space="preserve">8,10%</t>
  </si>
  <si>
    <t xml:space="preserve">7,90%</t>
  </si>
  <si>
    <t xml:space="preserve">Target di Renja lebih tinggi ambisinya dari dokumen rujukan (7,90% dibanding 8,10%). Perbedaan bisa sah bila ada perubahan rujukan atau penyesuaian kewenangan. Mohon dikonfirmasi ke Dinas Sosial.</t>
  </si>
  <si>
    <t xml:space="preserve">F7</t>
  </si>
  <si>
    <t xml:space="preserve">hal. 163</t>
  </si>
  <si>
    <t xml:space="preserve">82,62%</t>
  </si>
  <si>
    <t xml:space="preserve">hal. 81</t>
  </si>
  <si>
    <t xml:space="preserve">83,50%</t>
  </si>
  <si>
    <t xml:space="preserve">Target di Renja lebih tinggi ambisinya dari dokumen rujukan (83,50% dibanding 82,62%). Perbedaan bisa sah bila ada perubahan rujukan atau penyesuaian kewenangan. Mohon dikonfirmasi ke Dinas Pendidikan.</t>
  </si>
  <si>
    <t xml:space="preserve">F8</t>
  </si>
  <si>
    <t xml:space="preserve">Indikator RKPD tidak dimuat di Renja</t>
  </si>
  <si>
    <t xml:space="preserve">hal. 157</t>
  </si>
  <si>
    <t xml:space="preserve">93,5%</t>
  </si>
  <si>
    <t xml:space="preserve">Tidak ditemukan</t>
  </si>
  <si>
    <t xml:space="preserve">Indikator ini punya target 2026 di RKPD, tetapi tidak ditemukan di Renja Dinas Kesehatan 2026. Kemungkinan terlewat saat penyusunan Renja.</t>
  </si>
  <si>
    <t xml:space="preserve">Data simulasi.</t>
  </si>
  <si>
    <t xml:space="preserve">Kode DSSD</t>
  </si>
  <si>
    <t xml:space="preserve">Uraian</t>
  </si>
  <si>
    <t xml:space="preserve">2021</t>
  </si>
  <si>
    <t xml:space="preserve">2022</t>
  </si>
  <si>
    <t xml:space="preserve">2023</t>
  </si>
  <si>
    <t xml:space="preserve">Produsen data</t>
  </si>
  <si>
    <t xml:space="preserve">DSSD-SOS-01</t>
  </si>
  <si>
    <t xml:space="preserve">Jumlah penduduk miskin</t>
  </si>
  <si>
    <t xml:space="preserve">ribu jiwa</t>
  </si>
  <si>
    <t xml:space="preserve">DSSD-SOS-02</t>
  </si>
  <si>
    <t xml:space="preserve">Keluarga penerima bantuan sosial</t>
  </si>
  <si>
    <t xml:space="preserve">KPM</t>
  </si>
  <si>
    <t xml:space="preserve">DSSD-NAK-01</t>
  </si>
  <si>
    <t xml:space="preserve">Angkatan kerja</t>
  </si>
  <si>
    <t xml:space="preserve">ribu orang</t>
  </si>
  <si>
    <t xml:space="preserve">DSSD-NAK-02</t>
  </si>
  <si>
    <t xml:space="preserve">Peserta pelatihan kerja</t>
  </si>
  <si>
    <t xml:space="preserve">orang</t>
  </si>
  <si>
    <t xml:space="preserve">DSSD-PDK-01</t>
  </si>
  <si>
    <t xml:space="preserve">Jumlah SD dan SMP</t>
  </si>
  <si>
    <t xml:space="preserve">sekolah</t>
  </si>
  <si>
    <t xml:space="preserve">DSSD-PDK-02</t>
  </si>
  <si>
    <t xml:space="preserve">Peserta didik SD dan SMP</t>
  </si>
  <si>
    <t xml:space="preserve">ribu siswa</t>
  </si>
  <si>
    <t xml:space="preserve">DSSD-KES-01</t>
  </si>
  <si>
    <t xml:space="preserve">Jumlah puskesmas</t>
  </si>
  <si>
    <t xml:space="preserve">unit</t>
  </si>
  <si>
    <t xml:space="preserve">DSSD-KES-02</t>
  </si>
  <si>
    <t xml:space="preserve">Tenaga kesehatan</t>
  </si>
  <si>
    <t xml:space="preserve">DSSD-EKO-01</t>
  </si>
  <si>
    <t xml:space="preserve">PDRB atas dasar harga berlaku</t>
  </si>
  <si>
    <t xml:space="preserve">Rp triliun</t>
  </si>
  <si>
    <t xml:space="preserve">DSSD-EKO-02</t>
  </si>
  <si>
    <t xml:space="preserve">Realisasi investasi</t>
  </si>
  <si>
    <t xml:space="preserve">DSSD-KOP-01</t>
  </si>
  <si>
    <t xml:space="preserve">Jumlah UMKM terdata</t>
  </si>
  <si>
    <t xml:space="preserve">DSSD-KOP-02</t>
  </si>
  <si>
    <t xml:space="preserve">Koperasi aktif</t>
  </si>
  <si>
    <t xml:space="preserve">DSSD-PAR-01</t>
  </si>
  <si>
    <t xml:space="preserve">Jumlah hotel</t>
  </si>
  <si>
    <t xml:space="preserve">DSSD-PAR-02</t>
  </si>
  <si>
    <t xml:space="preserve">Event wisata terselenggara</t>
  </si>
  <si>
    <t xml:space="preserve">event</t>
  </si>
  <si>
    <t xml:space="preserve">DSSD-PGN-01</t>
  </si>
  <si>
    <t xml:space="preserve">Pasar tradisional</t>
  </si>
  <si>
    <t xml:space="preserve">DSSD-PGN-02</t>
  </si>
  <si>
    <t xml:space="preserve">Kelompok pangan lokal binaan</t>
  </si>
  <si>
    <t xml:space="preserve">kelompok</t>
  </si>
  <si>
    <t xml:space="preserve">DSSD-PU-01</t>
  </si>
  <si>
    <t xml:space="preserve">Panjang jalan kota</t>
  </si>
  <si>
    <t xml:space="preserve">km</t>
  </si>
  <si>
    <t xml:space="preserve">DSSD-PU-02</t>
  </si>
  <si>
    <t xml:space="preserve">Panjang saluran drainase</t>
  </si>
  <si>
    <t xml:space="preserve">DSSD-PKM-01</t>
  </si>
  <si>
    <t xml:space="preserve">Sambungan rumah air minum</t>
  </si>
  <si>
    <t xml:space="preserve">ribu SR</t>
  </si>
  <si>
    <t xml:space="preserve">DSSD-PKM-02</t>
  </si>
  <si>
    <t xml:space="preserve">Rumah tidak layak huni</t>
  </si>
  <si>
    <t xml:space="preserve">DSSD-LH-01</t>
  </si>
  <si>
    <t xml:space="preserve">Timbulan sampah</t>
  </si>
  <si>
    <t xml:space="preserve">DSSD-LH-02</t>
  </si>
  <si>
    <t xml:space="preserve">Bank sampah aktif</t>
  </si>
  <si>
    <t xml:space="preserve">DSSD-RNG-01</t>
  </si>
  <si>
    <t xml:space="preserve">Luas RTH publik</t>
  </si>
  <si>
    <t xml:space="preserve">DSSD-RNG-02</t>
  </si>
  <si>
    <t xml:space="preserve">Taman kota</t>
  </si>
  <si>
    <t xml:space="preserve">DSSD-HUB-01</t>
  </si>
  <si>
    <t xml:space="preserve">Koridor angkutan umum aktif</t>
  </si>
  <si>
    <t xml:space="preserve">koridor</t>
  </si>
  <si>
    <t xml:space="preserve">DSSD-HUB-02</t>
  </si>
  <si>
    <t xml:space="preserve">Halte angkutan umum</t>
  </si>
  <si>
    <t xml:space="preserve">DSSD-RIS-01</t>
  </si>
  <si>
    <t xml:space="preserve">Kajian yang diselesaikan</t>
  </si>
  <si>
    <t xml:space="preserve">DSSD-RIS-02</t>
  </si>
  <si>
    <t xml:space="preserve">Inovasi daerah terdaftar</t>
  </si>
  <si>
    <t xml:space="preserve">inovasi</t>
  </si>
  <si>
    <t xml:space="preserve">DSSD-KOM-01</t>
  </si>
  <si>
    <t xml:space="preserve">Layanan publik daring</t>
  </si>
  <si>
    <t xml:space="preserve">layanan</t>
  </si>
  <si>
    <t xml:space="preserve">DSSD-KOM-02</t>
  </si>
  <si>
    <t xml:space="preserve">Titik wifi publik</t>
  </si>
  <si>
    <t xml:space="preserve">titik</t>
  </si>
  <si>
    <t xml:space="preserve">Pembagian urusan adalah contoh dan perlu disesuaikan dengan pembagian tugas resmi setiap bidang.</t>
  </si>
  <si>
    <t xml:space="preserve">Bidang pengampu</t>
  </si>
  <si>
    <t xml:space="preserve">Perangkat daerah utama</t>
  </si>
  <si>
    <t xml:space="preserve">Jumlah indikator</t>
  </si>
  <si>
    <t xml:space="preserve">Isu strategis (contoh)</t>
  </si>
  <si>
    <t xml:space="preserve">Data penerima bantuan belum seluruhnya mutakhir; Penurunan kemiskinan melambat sejak 2023</t>
  </si>
  <si>
    <t xml:space="preserve">Kesesuaian pelatihan dengan kebutuhan industri; Pengangguran usia muda</t>
  </si>
  <si>
    <t xml:space="preserve">Pemerataan akses pendidikan menengah pertama; Mutu dan sebaran tenaga pendidik</t>
  </si>
  <si>
    <t xml:space="preserve">Percepatan penurunan stunting; Layanan kesehatan dasar di kawasan padat</t>
  </si>
  <si>
    <t xml:space="preserve">Pertumbuhan ekonomi cenderung datar 2023–2025; Ketimpangan pendapatan antarkelompok</t>
  </si>
  <si>
    <t xml:space="preserve">Akses pembiayaan UMKM; Pemasaran digital produk lokal</t>
  </si>
  <si>
    <t xml:space="preserve">Pengembangan wisata Sungai Musi; Kalender event yang konsisten</t>
  </si>
  <si>
    <t xml:space="preserve">Ketergantungan pasokan pangan dari luar kota; Keragaman konsumsi pangan rumah tangga</t>
  </si>
  <si>
    <t xml:space="preserve">Genangan saat hujan deras di kawasan rendah; Pemeliharaan jalan lingkungan</t>
  </si>
  <si>
    <t xml:space="preserve">Cakupan air minum di kawasan tepian sungai; Penataan permukiman kumuh</t>
  </si>
  <si>
    <t xml:space="preserve">Kapasitas pengolahan sampah; Kualitas air Sungai Musi dan anak sungai</t>
  </si>
  <si>
    <t xml:space="preserve">Ketersediaan lahan untuk RTH publik; Pengendalian alih fungsi daerah resapan</t>
  </si>
  <si>
    <t xml:space="preserve">Integrasi antarmoda angkutan umum; Kemacetan di koridor utama</t>
  </si>
  <si>
    <t xml:space="preserve">Pemanfaatan hasil kajian dalam perencanaan; Replikasi inovasi antarperangkat daerah</t>
  </si>
  <si>
    <t xml:space="preserve">Integrasi data antarperangkat daerah; Keamanan informasi layanan digital</t>
  </si>
  <si>
    <t xml:space="preserve">Data simulasi. Persentase kumulatif terhadap total pagu indikatif program di sheet Program_RKPD_2026.</t>
  </si>
  <si>
    <t xml:space="preserve">Bulan</t>
  </si>
  <si>
    <t xml:space="preserve">Akhir triwulan</t>
  </si>
  <si>
    <t xml:space="preserve">Rencana kumulatif</t>
  </si>
  <si>
    <t xml:space="preserve">Realisasi kumulatif</t>
  </si>
  <si>
    <t xml:space="preserve">Selisih</t>
  </si>
  <si>
    <t xml:space="preserve">Realisasi (Rp juta)</t>
  </si>
  <si>
    <t xml:space="preserve">Jan 2026</t>
  </si>
  <si>
    <t xml:space="preserve">Feb 2026</t>
  </si>
  <si>
    <t xml:space="preserve">Mar 2026</t>
  </si>
  <si>
    <t xml:space="preserve">Triwulan I</t>
  </si>
  <si>
    <t xml:space="preserve">Apr 2026</t>
  </si>
  <si>
    <t xml:space="preserve">Mei 2026</t>
  </si>
  <si>
    <t xml:space="preserve">Jun 2026</t>
  </si>
  <si>
    <t xml:space="preserve">Triwulan II</t>
  </si>
  <si>
    <t xml:space="preserve">Jul 2026</t>
  </si>
  <si>
    <t xml:space="preserve">Agu 2026</t>
  </si>
  <si>
    <t xml:space="preserve">Sep 2026</t>
  </si>
  <si>
    <t xml:space="preserve">Triwulan III</t>
  </si>
</sst>
</file>

<file path=xl/styles.xml><?xml version="1.0" encoding="utf-8"?>
<styleSheet xmlns="http://schemas.openxmlformats.org/spreadsheetml/2006/main">
  <numFmts count="8">
    <numFmt numFmtId="164" formatCode="General"/>
    <numFmt numFmtId="165" formatCode="0.00"/>
    <numFmt numFmtId="166" formatCode="0.000"/>
    <numFmt numFmtId="167" formatCode="0.0"/>
    <numFmt numFmtId="168" formatCode="0"/>
    <numFmt numFmtId="169" formatCode="#,##0"/>
    <numFmt numFmtId="170" formatCode="0.0%"/>
    <numFmt numFmtId="171" formatCode="#,##0.0"/>
  </numFmts>
  <fonts count="12">
    <font>
      <sz val="11"/>
      <color theme="1"/>
      <name val="Calibri"/>
      <family val="2"/>
      <charset val="1"/>
    </font>
    <font>
      <sz val="10"/>
      <name val="Arial"/>
      <family val="0"/>
    </font>
    <font>
      <sz val="10"/>
      <name val="Arial"/>
      <family val="0"/>
    </font>
    <font>
      <sz val="10"/>
      <name val="Arial"/>
      <family val="0"/>
    </font>
    <font>
      <b val="true"/>
      <sz val="14"/>
      <color rgb="FF21518E"/>
      <name val="Arial"/>
      <family val="0"/>
      <charset val="1"/>
    </font>
    <font>
      <b val="true"/>
      <sz val="11"/>
      <color rgb="FF8E1C1C"/>
      <name val="Arial"/>
      <family val="0"/>
      <charset val="1"/>
    </font>
    <font>
      <sz val="10"/>
      <name val="Arial"/>
      <family val="0"/>
      <charset val="1"/>
    </font>
    <font>
      <b val="true"/>
      <sz val="11"/>
      <name val="Arial"/>
      <family val="0"/>
      <charset val="1"/>
    </font>
    <font>
      <i val="true"/>
      <sz val="9"/>
      <color rgb="FF4A5462"/>
      <name val="Arial"/>
      <family val="0"/>
      <charset val="1"/>
    </font>
    <font>
      <b val="true"/>
      <sz val="10"/>
      <color rgb="FFFFFFFF"/>
      <name val="Arial"/>
      <family val="0"/>
      <charset val="1"/>
    </font>
    <font>
      <sz val="10"/>
      <color rgb="FF0000FF"/>
      <name val="Arial"/>
      <family val="0"/>
      <charset val="1"/>
    </font>
    <font>
      <b val="true"/>
      <sz val="10"/>
      <name val="Arial"/>
      <family val="0"/>
      <charset val="1"/>
    </font>
  </fonts>
  <fills count="3">
    <fill>
      <patternFill patternType="none"/>
    </fill>
    <fill>
      <patternFill patternType="gray125"/>
    </fill>
    <fill>
      <patternFill patternType="solid">
        <fgColor rgb="FF21518E"/>
        <bgColor rgb="FF4A5462"/>
      </patternFill>
    </fill>
  </fills>
  <borders count="2">
    <border diagonalUp="false" diagonalDown="false">
      <left/>
      <right/>
      <top/>
      <bottom/>
      <diagonal/>
    </border>
    <border diagonalUp="false" diagonalDown="false">
      <left/>
      <right/>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1518E"/>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A5462"/>
      <rgbColor rgb="FF969696"/>
      <rgbColor rgb="FF003366"/>
      <rgbColor rgb="FF339966"/>
      <rgbColor rgb="FF003300"/>
      <rgbColor rgb="FF333300"/>
      <rgbColor rgb="FF8E1C1C"/>
      <rgbColor rgb="FF993366"/>
      <rgbColor rgb="FF21518E"/>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3"/>
    </row>
    <row r="5" customFormat="false" ht="15" hidden="false" customHeight="false" outlineLevel="0" collapsed="false">
      <c r="A5" s="4"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t="s">
        <v>7</v>
      </c>
    </row>
    <row r="10" customFormat="false" ht="15" hidden="false" customHeight="false" outlineLevel="0" collapsed="false">
      <c r="A10" s="3" t="s">
        <v>8</v>
      </c>
    </row>
    <row r="11" customFormat="false" ht="15" hidden="false" customHeight="false" outlineLevel="0" collapsed="false">
      <c r="A11" s="3" t="s">
        <v>9</v>
      </c>
    </row>
    <row r="12" customFormat="false" ht="15" hidden="false" customHeight="false" outlineLevel="0" collapsed="false">
      <c r="A12" s="3" t="s">
        <v>10</v>
      </c>
    </row>
    <row r="13" customFormat="false" ht="15" hidden="false" customHeight="false" outlineLevel="0" collapsed="false">
      <c r="A13" s="3"/>
    </row>
    <row r="14" customFormat="false" ht="15" hidden="false" customHeight="false" outlineLevel="0" collapsed="false">
      <c r="A14" s="4" t="s">
        <v>11</v>
      </c>
    </row>
    <row r="15" customFormat="false" ht="15" hidden="false" customHeight="false" outlineLevel="0" collapsed="false">
      <c r="A15" s="3" t="s">
        <v>12</v>
      </c>
    </row>
    <row r="16" customFormat="false" ht="15" hidden="false" customHeight="false" outlineLevel="0" collapsed="false">
      <c r="A16" s="3" t="s">
        <v>13</v>
      </c>
    </row>
    <row r="17" customFormat="false" ht="15" hidden="false" customHeight="false" outlineLevel="0" collapsed="false">
      <c r="A17" s="3" t="s">
        <v>14</v>
      </c>
    </row>
    <row r="18" customFormat="false" ht="23.85" hidden="false" customHeight="false" outlineLevel="0" collapsed="false">
      <c r="A18" s="3"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2"/>
    <col collapsed="false" customWidth="true" hidden="false" outlineLevel="0" max="3" min="3" style="0" width="7"/>
    <col collapsed="false" customWidth="true" hidden="false" outlineLevel="0" max="4" min="4" style="0" width="14"/>
    <col collapsed="false" customWidth="true" hidden="false" outlineLevel="0" max="5" min="5" style="0" width="8"/>
    <col collapsed="false" customWidth="true" hidden="false" outlineLevel="0" max="6" min="6" style="0" width="24"/>
    <col collapsed="false" customWidth="true" hidden="false" outlineLevel="0" max="9" min="7" style="0" width="30"/>
    <col collapsed="false" customWidth="true" hidden="false" outlineLevel="0" max="14" min="10" style="0" width="11"/>
    <col collapsed="false" customWidth="true" hidden="false" outlineLevel="0" max="19" min="15" style="0" width="10"/>
    <col collapsed="false" customWidth="true" hidden="false" outlineLevel="0" max="20" min="20" style="0" width="12"/>
    <col collapsed="false" customWidth="true" hidden="false" outlineLevel="0" max="21" min="21" style="0" width="15"/>
    <col collapsed="false" customWidth="true" hidden="false" outlineLevel="0" max="22" min="22" style="0" width="60"/>
    <col collapsed="false" customWidth="true" hidden="false" outlineLevel="0" max="23" min="23" style="0" width="80"/>
  </cols>
  <sheetData>
    <row r="1" customFormat="false" ht="15" hidden="false" customHeight="false" outlineLevel="0" collapsed="false">
      <c r="A1" s="5" t="s">
        <v>16</v>
      </c>
    </row>
    <row r="3" customFormat="false" ht="30" hidden="false" customHeight="true" outlineLevel="0" collapsed="false">
      <c r="A3" s="6" t="s">
        <v>17</v>
      </c>
      <c r="B3" s="6" t="s">
        <v>18</v>
      </c>
      <c r="C3" s="6" t="s">
        <v>19</v>
      </c>
      <c r="D3" s="6" t="s">
        <v>20</v>
      </c>
      <c r="E3" s="6" t="s">
        <v>21</v>
      </c>
      <c r="F3" s="6" t="s">
        <v>22</v>
      </c>
      <c r="G3" s="6" t="s">
        <v>23</v>
      </c>
      <c r="H3" s="6" t="s">
        <v>24</v>
      </c>
      <c r="I3" s="6" t="s">
        <v>25</v>
      </c>
      <c r="J3" s="6" t="s">
        <v>26</v>
      </c>
      <c r="K3" s="6" t="s">
        <v>27</v>
      </c>
      <c r="L3" s="6" t="s">
        <v>28</v>
      </c>
      <c r="M3" s="6" t="s">
        <v>29</v>
      </c>
      <c r="N3" s="6" t="s">
        <v>30</v>
      </c>
      <c r="O3" s="6" t="s">
        <v>31</v>
      </c>
      <c r="P3" s="6" t="s">
        <v>32</v>
      </c>
      <c r="Q3" s="6" t="s">
        <v>33</v>
      </c>
      <c r="R3" s="6" t="s">
        <v>34</v>
      </c>
      <c r="S3" s="6" t="s">
        <v>35</v>
      </c>
      <c r="T3" s="6" t="s">
        <v>36</v>
      </c>
      <c r="U3" s="6" t="s">
        <v>37</v>
      </c>
      <c r="V3" s="6" t="s">
        <v>38</v>
      </c>
      <c r="W3" s="6" t="s">
        <v>39</v>
      </c>
    </row>
    <row r="4" customFormat="false" ht="35.05" hidden="false" customHeight="false" outlineLevel="0" collapsed="false">
      <c r="A4" s="7" t="s">
        <v>40</v>
      </c>
      <c r="B4" s="7" t="s">
        <v>41</v>
      </c>
      <c r="C4" s="7" t="s">
        <v>42</v>
      </c>
      <c r="D4" s="7" t="s">
        <v>43</v>
      </c>
      <c r="E4" s="7" t="s">
        <v>44</v>
      </c>
      <c r="F4" s="7" t="s">
        <v>45</v>
      </c>
      <c r="G4" s="7" t="s">
        <v>46</v>
      </c>
      <c r="H4" s="7" t="s">
        <v>47</v>
      </c>
      <c r="I4" s="7" t="s">
        <v>48</v>
      </c>
      <c r="J4" s="8" t="n">
        <v>74.6</v>
      </c>
      <c r="K4" s="8" t="n">
        <v>74.98</v>
      </c>
      <c r="L4" s="8" t="n">
        <v>75.4</v>
      </c>
      <c r="M4" s="8" t="n">
        <v>75.77</v>
      </c>
      <c r="N4" s="8" t="n">
        <v>76.1</v>
      </c>
      <c r="O4" s="8" t="n">
        <v>76.4</v>
      </c>
      <c r="P4" s="8" t="n">
        <v>76.8</v>
      </c>
      <c r="Q4" s="8" t="n">
        <v>77.2</v>
      </c>
      <c r="R4" s="8" t="n">
        <v>77.6</v>
      </c>
      <c r="S4" s="8" t="n">
        <v>78</v>
      </c>
      <c r="T4" s="9" t="n">
        <f aca="false">IF(D4="%",MAX(0,MIN(100,N4+(N4-J4))),N4+(N4-J4))</f>
        <v>77.6</v>
      </c>
      <c r="U4" s="7" t="str">
        <f aca="false">IF(E4="turun",IF(T4&lt;=S4+0.000000001,"Sesuai jalur",IF(T4&lt;=S4*1.05,"Perlu perhatian","Berisiko")),IF(T4&gt;=S4-0.000000001,"Sesuai jalur",IF(T4&gt;=S4*0.97,"Perlu perhatian","Berisiko")))</f>
        <v>Perlu perhatian</v>
      </c>
      <c r="V4" s="10" t="s">
        <v>49</v>
      </c>
      <c r="W4" s="10" t="s">
        <v>50</v>
      </c>
    </row>
    <row r="5" customFormat="false" ht="23.85" hidden="false" customHeight="false" outlineLevel="0" collapsed="false">
      <c r="A5" s="7" t="s">
        <v>51</v>
      </c>
      <c r="B5" s="7" t="s">
        <v>52</v>
      </c>
      <c r="C5" s="7" t="s">
        <v>42</v>
      </c>
      <c r="D5" s="7" t="s">
        <v>53</v>
      </c>
      <c r="E5" s="7" t="s">
        <v>44</v>
      </c>
      <c r="F5" s="7" t="s">
        <v>54</v>
      </c>
      <c r="G5" s="7" t="s">
        <v>46</v>
      </c>
      <c r="H5" s="7" t="s">
        <v>47</v>
      </c>
      <c r="I5" s="7" t="s">
        <v>48</v>
      </c>
      <c r="J5" s="8" t="n">
        <v>4.85</v>
      </c>
      <c r="K5" s="8" t="n">
        <v>5.31</v>
      </c>
      <c r="L5" s="8" t="n">
        <v>5.2</v>
      </c>
      <c r="M5" s="8" t="n">
        <v>5.05</v>
      </c>
      <c r="N5" s="8" t="n">
        <v>5.12</v>
      </c>
      <c r="O5" s="8" t="n">
        <v>5.4</v>
      </c>
      <c r="P5" s="8" t="n">
        <v>5.5</v>
      </c>
      <c r="Q5" s="8" t="n">
        <v>5.6</v>
      </c>
      <c r="R5" s="8" t="n">
        <v>5.7</v>
      </c>
      <c r="S5" s="8" t="n">
        <v>5.8</v>
      </c>
      <c r="T5" s="9" t="n">
        <f aca="false">IF(D5="%",MAX(0,MIN(100,N5+(N5-J5))),N5+(N5-J5))</f>
        <v>5.39</v>
      </c>
      <c r="U5" s="7" t="str">
        <f aca="false">IF(E5="turun",IF(T5&lt;=S5+0.000000001,"Sesuai jalur",IF(T5&lt;=S5*1.05,"Perlu perhatian","Berisiko")),IF(T5&gt;=S5-0.000000001,"Sesuai jalur",IF(T5&gt;=S5*0.97,"Perlu perhatian","Berisiko")))</f>
        <v>Berisiko</v>
      </c>
      <c r="V5" s="10" t="s">
        <v>55</v>
      </c>
      <c r="W5" s="10" t="s">
        <v>56</v>
      </c>
    </row>
    <row r="6" customFormat="false" ht="23.85" hidden="false" customHeight="false" outlineLevel="0" collapsed="false">
      <c r="A6" s="7" t="s">
        <v>57</v>
      </c>
      <c r="B6" s="7" t="s">
        <v>58</v>
      </c>
      <c r="C6" s="7" t="s">
        <v>42</v>
      </c>
      <c r="D6" s="7" t="s">
        <v>43</v>
      </c>
      <c r="E6" s="7" t="s">
        <v>59</v>
      </c>
      <c r="F6" s="7" t="s">
        <v>54</v>
      </c>
      <c r="G6" s="7" t="s">
        <v>46</v>
      </c>
      <c r="H6" s="7" t="s">
        <v>47</v>
      </c>
      <c r="I6" s="7" t="s">
        <v>48</v>
      </c>
      <c r="J6" s="11" t="n">
        <v>0.372</v>
      </c>
      <c r="K6" s="11" t="n">
        <v>0.369</v>
      </c>
      <c r="L6" s="11" t="n">
        <v>0.366</v>
      </c>
      <c r="M6" s="11" t="n">
        <v>0.364</v>
      </c>
      <c r="N6" s="11" t="n">
        <v>0.361</v>
      </c>
      <c r="O6" s="11" t="n">
        <v>0.358</v>
      </c>
      <c r="P6" s="11" t="n">
        <v>0.353</v>
      </c>
      <c r="Q6" s="11" t="n">
        <v>0.349</v>
      </c>
      <c r="R6" s="11" t="n">
        <v>0.345</v>
      </c>
      <c r="S6" s="11" t="n">
        <v>0.34</v>
      </c>
      <c r="T6" s="12" t="n">
        <f aca="false">IF(D6="%",MAX(0,MIN(100,N6+(N6-J6))),N6+(N6-J6))</f>
        <v>0.35</v>
      </c>
      <c r="U6" s="7" t="str">
        <f aca="false">IF(E6="turun",IF(T6&lt;=S6+0.000000001,"Sesuai jalur",IF(T6&lt;=S6*1.05,"Perlu perhatian","Berisiko")),IF(T6&gt;=S6-0.000000001,"Sesuai jalur",IF(T6&gt;=S6*0.97,"Perlu perhatian","Berisiko")))</f>
        <v>Perlu perhatian</v>
      </c>
      <c r="V6" s="10" t="s">
        <v>60</v>
      </c>
      <c r="W6" s="10" t="s">
        <v>61</v>
      </c>
    </row>
    <row r="7" customFormat="false" ht="35.05" hidden="false" customHeight="false" outlineLevel="0" collapsed="false">
      <c r="A7" s="7" t="s">
        <v>62</v>
      </c>
      <c r="B7" s="7" t="s">
        <v>63</v>
      </c>
      <c r="C7" s="7" t="s">
        <v>42</v>
      </c>
      <c r="D7" s="7" t="s">
        <v>43</v>
      </c>
      <c r="E7" s="7" t="s">
        <v>44</v>
      </c>
      <c r="F7" s="7" t="s">
        <v>64</v>
      </c>
      <c r="G7" s="7" t="s">
        <v>65</v>
      </c>
      <c r="H7" s="7" t="s">
        <v>66</v>
      </c>
      <c r="I7" s="7" t="s">
        <v>66</v>
      </c>
      <c r="J7" s="8" t="n">
        <v>58.2</v>
      </c>
      <c r="K7" s="8" t="n">
        <v>58.98</v>
      </c>
      <c r="L7" s="8" t="n">
        <v>59.59</v>
      </c>
      <c r="M7" s="8" t="n">
        <v>60.22</v>
      </c>
      <c r="N7" s="8" t="n">
        <v>61</v>
      </c>
      <c r="O7" s="8" t="n">
        <v>62</v>
      </c>
      <c r="P7" s="8" t="n">
        <v>63</v>
      </c>
      <c r="Q7" s="8" t="n">
        <v>64</v>
      </c>
      <c r="R7" s="8" t="n">
        <v>65</v>
      </c>
      <c r="S7" s="8" t="n">
        <v>66</v>
      </c>
      <c r="T7" s="9" t="n">
        <f aca="false">IF(D7="%",MAX(0,MIN(100,N7+(N7-J7))),N7+(N7-J7))</f>
        <v>63.8</v>
      </c>
      <c r="U7" s="7" t="str">
        <f aca="false">IF(E7="turun",IF(T7&lt;=S7+0.000000001,"Sesuai jalur",IF(T7&lt;=S7*1.05,"Perlu perhatian","Berisiko")),IF(T7&gt;=S7-0.000000001,"Sesuai jalur",IF(T7&gt;=S7*0.97,"Perlu perhatian","Berisiko")))</f>
        <v>Berisiko</v>
      </c>
      <c r="V7" s="10" t="s">
        <v>67</v>
      </c>
      <c r="W7" s="10" t="s">
        <v>68</v>
      </c>
    </row>
    <row r="8" customFormat="false" ht="23.85" hidden="false" customHeight="false" outlineLevel="0" collapsed="false">
      <c r="A8" s="7" t="s">
        <v>69</v>
      </c>
      <c r="B8" s="7" t="s">
        <v>70</v>
      </c>
      <c r="C8" s="7" t="s">
        <v>42</v>
      </c>
      <c r="D8" s="7" t="s">
        <v>43</v>
      </c>
      <c r="E8" s="7" t="s">
        <v>44</v>
      </c>
      <c r="F8" s="7" t="s">
        <v>71</v>
      </c>
      <c r="G8" s="7" t="s">
        <v>71</v>
      </c>
      <c r="H8" s="7" t="s">
        <v>72</v>
      </c>
      <c r="I8" s="7" t="s">
        <v>72</v>
      </c>
      <c r="J8" s="8" t="n">
        <v>38.2</v>
      </c>
      <c r="K8" s="8" t="n">
        <v>41.87</v>
      </c>
      <c r="L8" s="8" t="n">
        <v>44.64</v>
      </c>
      <c r="M8" s="8" t="n">
        <v>48.92</v>
      </c>
      <c r="N8" s="8" t="n">
        <v>52.4</v>
      </c>
      <c r="O8" s="8" t="n">
        <v>54</v>
      </c>
      <c r="P8" s="8" t="n">
        <v>58</v>
      </c>
      <c r="Q8" s="8" t="n">
        <v>62</v>
      </c>
      <c r="R8" s="8" t="n">
        <v>66</v>
      </c>
      <c r="S8" s="8" t="n">
        <v>70</v>
      </c>
      <c r="T8" s="9" t="n">
        <f aca="false">IF(D8="%",MAX(0,MIN(100,N8+(N8-J8))),N8+(N8-J8))</f>
        <v>66.6</v>
      </c>
      <c r="U8" s="7" t="str">
        <f aca="false">IF(E8="turun",IF(T8&lt;=S8+0.000000001,"Sesuai jalur",IF(T8&lt;=S8*1.05,"Perlu perhatian","Berisiko")),IF(T8&gt;=S8-0.000000001,"Sesuai jalur",IF(T8&gt;=S8*0.97,"Perlu perhatian","Berisiko")))</f>
        <v>Berisiko</v>
      </c>
      <c r="V8" s="10" t="s">
        <v>73</v>
      </c>
      <c r="W8" s="10" t="s">
        <v>74</v>
      </c>
    </row>
    <row r="9" customFormat="false" ht="23.85" hidden="false" customHeight="false" outlineLevel="0" collapsed="false">
      <c r="A9" s="7" t="s">
        <v>75</v>
      </c>
      <c r="B9" s="7" t="s">
        <v>76</v>
      </c>
      <c r="C9" s="7" t="s">
        <v>77</v>
      </c>
      <c r="D9" s="7" t="s">
        <v>53</v>
      </c>
      <c r="E9" s="7" t="s">
        <v>59</v>
      </c>
      <c r="F9" s="7" t="s">
        <v>78</v>
      </c>
      <c r="G9" s="7" t="s">
        <v>46</v>
      </c>
      <c r="H9" s="7" t="s">
        <v>79</v>
      </c>
      <c r="I9" s="7" t="s">
        <v>48</v>
      </c>
      <c r="J9" s="8" t="n">
        <v>8.79</v>
      </c>
      <c r="K9" s="8" t="n">
        <v>8.62</v>
      </c>
      <c r="L9" s="8" t="n">
        <v>8.5</v>
      </c>
      <c r="M9" s="8" t="n">
        <v>8.41</v>
      </c>
      <c r="N9" s="8" t="n">
        <v>8.3</v>
      </c>
      <c r="O9" s="8" t="n">
        <v>8.4</v>
      </c>
      <c r="P9" s="8" t="n">
        <v>8.1</v>
      </c>
      <c r="Q9" s="8" t="n">
        <v>7.75</v>
      </c>
      <c r="R9" s="8" t="n">
        <v>7.4</v>
      </c>
      <c r="S9" s="8" t="n">
        <v>7</v>
      </c>
      <c r="T9" s="9" t="n">
        <f aca="false">IF(D9="%",MAX(0,MIN(100,N9+(N9-J9))),N9+(N9-J9))</f>
        <v>7.81</v>
      </c>
      <c r="U9" s="7" t="str">
        <f aca="false">IF(E9="turun",IF(T9&lt;=S9+0.000000001,"Sesuai jalur",IF(T9&lt;=S9*1.05,"Perlu perhatian","Berisiko")),IF(T9&gt;=S9-0.000000001,"Sesuai jalur",IF(T9&gt;=S9*0.97,"Perlu perhatian","Berisiko")))</f>
        <v>Berisiko</v>
      </c>
      <c r="V9" s="10" t="s">
        <v>80</v>
      </c>
      <c r="W9" s="10" t="s">
        <v>81</v>
      </c>
    </row>
    <row r="10" customFormat="false" ht="35.05" hidden="false" customHeight="false" outlineLevel="0" collapsed="false">
      <c r="A10" s="7" t="s">
        <v>82</v>
      </c>
      <c r="B10" s="7" t="s">
        <v>83</v>
      </c>
      <c r="C10" s="7" t="s">
        <v>77</v>
      </c>
      <c r="D10" s="7" t="s">
        <v>53</v>
      </c>
      <c r="E10" s="7" t="s">
        <v>59</v>
      </c>
      <c r="F10" s="7" t="s">
        <v>84</v>
      </c>
      <c r="G10" s="7" t="s">
        <v>46</v>
      </c>
      <c r="H10" s="7" t="s">
        <v>85</v>
      </c>
      <c r="I10" s="7" t="s">
        <v>48</v>
      </c>
      <c r="J10" s="8" t="n">
        <v>5.4</v>
      </c>
      <c r="K10" s="8" t="n">
        <v>5.18</v>
      </c>
      <c r="L10" s="8" t="n">
        <v>4.97</v>
      </c>
      <c r="M10" s="8" t="n">
        <v>4.85</v>
      </c>
      <c r="N10" s="8" t="n">
        <v>4.71</v>
      </c>
      <c r="O10" s="8" t="n">
        <v>4.8</v>
      </c>
      <c r="P10" s="8" t="n">
        <v>4.6</v>
      </c>
      <c r="Q10" s="8" t="n">
        <v>4.4</v>
      </c>
      <c r="R10" s="8" t="n">
        <v>4.2</v>
      </c>
      <c r="S10" s="8" t="n">
        <v>4</v>
      </c>
      <c r="T10" s="9" t="n">
        <f aca="false">IF(D10="%",MAX(0,MIN(100,N10+(N10-J10))),N10+(N10-J10))</f>
        <v>4.02</v>
      </c>
      <c r="U10" s="7" t="str">
        <f aca="false">IF(E10="turun",IF(T10&lt;=S10+0.000000001,"Sesuai jalur",IF(T10&lt;=S10*1.05,"Perlu perhatian","Berisiko")),IF(T10&gt;=S10-0.000000001,"Sesuai jalur",IF(T10&gt;=S10*0.97,"Perlu perhatian","Berisiko")))</f>
        <v>Perlu perhatian</v>
      </c>
      <c r="V10" s="10" t="s">
        <v>86</v>
      </c>
      <c r="W10" s="10" t="s">
        <v>87</v>
      </c>
    </row>
    <row r="11" customFormat="false" ht="15" hidden="false" customHeight="false" outlineLevel="0" collapsed="false">
      <c r="A11" s="7" t="s">
        <v>88</v>
      </c>
      <c r="B11" s="7" t="s">
        <v>89</v>
      </c>
      <c r="C11" s="7" t="s">
        <v>77</v>
      </c>
      <c r="D11" s="7" t="s">
        <v>90</v>
      </c>
      <c r="E11" s="7" t="s">
        <v>44</v>
      </c>
      <c r="F11" s="7" t="s">
        <v>91</v>
      </c>
      <c r="G11" s="7" t="s">
        <v>46</v>
      </c>
      <c r="H11" s="7" t="s">
        <v>92</v>
      </c>
      <c r="I11" s="7" t="s">
        <v>48</v>
      </c>
      <c r="J11" s="8" t="n">
        <v>13.2</v>
      </c>
      <c r="K11" s="8" t="n">
        <v>13.31</v>
      </c>
      <c r="L11" s="8" t="n">
        <v>13.4</v>
      </c>
      <c r="M11" s="8" t="n">
        <v>13.52</v>
      </c>
      <c r="N11" s="8" t="n">
        <v>13.6</v>
      </c>
      <c r="O11" s="8" t="n">
        <v>13.62</v>
      </c>
      <c r="P11" s="8" t="n">
        <v>13.69</v>
      </c>
      <c r="Q11" s="8" t="n">
        <v>13.76</v>
      </c>
      <c r="R11" s="8" t="n">
        <v>13.83</v>
      </c>
      <c r="S11" s="8" t="n">
        <v>13.9</v>
      </c>
      <c r="T11" s="9" t="n">
        <f aca="false">IF(D11="%",MAX(0,MIN(100,N11+(N11-J11))),N11+(N11-J11))</f>
        <v>14</v>
      </c>
      <c r="U11" s="7" t="str">
        <f aca="false">IF(E11="turun",IF(T11&lt;=S11+0.000000001,"Sesuai jalur",IF(T11&lt;=S11*1.05,"Perlu perhatian","Berisiko")),IF(T11&gt;=S11-0.000000001,"Sesuai jalur",IF(T11&gt;=S11*0.97,"Perlu perhatian","Berisiko")))</f>
        <v>Sesuai jalur</v>
      </c>
      <c r="V11" s="10" t="s">
        <v>93</v>
      </c>
      <c r="W11" s="10" t="s">
        <v>94</v>
      </c>
    </row>
    <row r="12" customFormat="false" ht="15" hidden="false" customHeight="false" outlineLevel="0" collapsed="false">
      <c r="A12" s="7" t="s">
        <v>95</v>
      </c>
      <c r="B12" s="7" t="s">
        <v>96</v>
      </c>
      <c r="C12" s="7" t="s">
        <v>77</v>
      </c>
      <c r="D12" s="7" t="s">
        <v>90</v>
      </c>
      <c r="E12" s="7" t="s">
        <v>44</v>
      </c>
      <c r="F12" s="7" t="s">
        <v>91</v>
      </c>
      <c r="G12" s="7" t="s">
        <v>46</v>
      </c>
      <c r="H12" s="7" t="s">
        <v>92</v>
      </c>
      <c r="I12" s="7" t="s">
        <v>48</v>
      </c>
      <c r="J12" s="8" t="n">
        <v>10.62</v>
      </c>
      <c r="K12" s="8" t="n">
        <v>10.71</v>
      </c>
      <c r="L12" s="8" t="n">
        <v>10.79</v>
      </c>
      <c r="M12" s="8" t="n">
        <v>10.88</v>
      </c>
      <c r="N12" s="8" t="n">
        <v>10.98</v>
      </c>
      <c r="O12" s="8" t="n">
        <v>11</v>
      </c>
      <c r="P12" s="8" t="n">
        <v>11.07</v>
      </c>
      <c r="Q12" s="8" t="n">
        <v>11.15</v>
      </c>
      <c r="R12" s="8" t="n">
        <v>11.23</v>
      </c>
      <c r="S12" s="8" t="n">
        <v>11.3</v>
      </c>
      <c r="T12" s="9" t="n">
        <f aca="false">IF(D12="%",MAX(0,MIN(100,N12+(N12-J12))),N12+(N12-J12))</f>
        <v>11.34</v>
      </c>
      <c r="U12" s="7" t="str">
        <f aca="false">IF(E12="turun",IF(T12&lt;=S12+0.000000001,"Sesuai jalur",IF(T12&lt;=S12*1.05,"Perlu perhatian","Berisiko")),IF(T12&gt;=S12-0.000000001,"Sesuai jalur",IF(T12&gt;=S12*0.97,"Perlu perhatian","Berisiko")))</f>
        <v>Sesuai jalur</v>
      </c>
      <c r="V12" s="10" t="s">
        <v>93</v>
      </c>
      <c r="W12" s="10" t="s">
        <v>94</v>
      </c>
    </row>
    <row r="13" customFormat="false" ht="15" hidden="false" customHeight="false" outlineLevel="0" collapsed="false">
      <c r="A13" s="7" t="s">
        <v>97</v>
      </c>
      <c r="B13" s="7" t="s">
        <v>98</v>
      </c>
      <c r="C13" s="7" t="s">
        <v>77</v>
      </c>
      <c r="D13" s="7" t="s">
        <v>90</v>
      </c>
      <c r="E13" s="7" t="s">
        <v>44</v>
      </c>
      <c r="F13" s="7" t="s">
        <v>45</v>
      </c>
      <c r="G13" s="7" t="s">
        <v>46</v>
      </c>
      <c r="H13" s="7" t="s">
        <v>99</v>
      </c>
      <c r="I13" s="7" t="s">
        <v>48</v>
      </c>
      <c r="J13" s="8" t="n">
        <v>70.1</v>
      </c>
      <c r="K13" s="8" t="n">
        <v>70.28</v>
      </c>
      <c r="L13" s="8" t="n">
        <v>70.46</v>
      </c>
      <c r="M13" s="8" t="n">
        <v>70.64</v>
      </c>
      <c r="N13" s="8" t="n">
        <v>70.86</v>
      </c>
      <c r="O13" s="8" t="n">
        <v>70.9</v>
      </c>
      <c r="P13" s="8" t="n">
        <v>71.08</v>
      </c>
      <c r="Q13" s="8" t="n">
        <v>71.25</v>
      </c>
      <c r="R13" s="8" t="n">
        <v>71.42</v>
      </c>
      <c r="S13" s="8" t="n">
        <v>71.6</v>
      </c>
      <c r="T13" s="9" t="n">
        <f aca="false">IF(D13="%",MAX(0,MIN(100,N13+(N13-J13))),N13+(N13-J13))</f>
        <v>71.62</v>
      </c>
      <c r="U13" s="7" t="str">
        <f aca="false">IF(E13="turun",IF(T13&lt;=S13+0.000000001,"Sesuai jalur",IF(T13&lt;=S13*1.05,"Perlu perhatian","Berisiko")),IF(T13&gt;=S13-0.000000001,"Sesuai jalur",IF(T13&gt;=S13*0.97,"Perlu perhatian","Berisiko")))</f>
        <v>Sesuai jalur</v>
      </c>
      <c r="V13" s="10" t="s">
        <v>93</v>
      </c>
      <c r="W13" s="10" t="s">
        <v>94</v>
      </c>
    </row>
    <row r="14" customFormat="false" ht="15" hidden="false" customHeight="false" outlineLevel="0" collapsed="false">
      <c r="A14" s="7" t="s">
        <v>100</v>
      </c>
      <c r="B14" s="7" t="s">
        <v>101</v>
      </c>
      <c r="C14" s="7" t="s">
        <v>77</v>
      </c>
      <c r="D14" s="7" t="s">
        <v>53</v>
      </c>
      <c r="E14" s="7" t="s">
        <v>59</v>
      </c>
      <c r="F14" s="7" t="s">
        <v>45</v>
      </c>
      <c r="G14" s="7" t="s">
        <v>46</v>
      </c>
      <c r="H14" s="7" t="s">
        <v>99</v>
      </c>
      <c r="I14" s="7" t="s">
        <v>99</v>
      </c>
      <c r="J14" s="13" t="n">
        <v>18.6</v>
      </c>
      <c r="K14" s="13" t="n">
        <v>17.4</v>
      </c>
      <c r="L14" s="13" t="n">
        <v>16.6</v>
      </c>
      <c r="M14" s="13" t="n">
        <v>15.1</v>
      </c>
      <c r="N14" s="13" t="n">
        <v>14.2</v>
      </c>
      <c r="O14" s="13" t="n">
        <v>14</v>
      </c>
      <c r="P14" s="13" t="n">
        <v>13</v>
      </c>
      <c r="Q14" s="13" t="n">
        <v>12</v>
      </c>
      <c r="R14" s="13" t="n">
        <v>11</v>
      </c>
      <c r="S14" s="13" t="n">
        <v>10</v>
      </c>
      <c r="T14" s="14" t="n">
        <f aca="false">IF(D14="%",MAX(0,MIN(100,N14+(N14-J14))),N14+(N14-J14))</f>
        <v>9.8</v>
      </c>
      <c r="U14" s="7" t="str">
        <f aca="false">IF(E14="turun",IF(T14&lt;=S14+0.000000001,"Sesuai jalur",IF(T14&lt;=S14*1.05,"Perlu perhatian","Berisiko")),IF(T14&gt;=S14-0.000000001,"Sesuai jalur",IF(T14&gt;=S14*0.97,"Perlu perhatian","Berisiko")))</f>
        <v>Sesuai jalur</v>
      </c>
      <c r="V14" s="10" t="s">
        <v>93</v>
      </c>
      <c r="W14" s="10" t="s">
        <v>94</v>
      </c>
    </row>
    <row r="15" customFormat="false" ht="23.85" hidden="false" customHeight="false" outlineLevel="0" collapsed="false">
      <c r="A15" s="7" t="s">
        <v>102</v>
      </c>
      <c r="B15" s="7" t="s">
        <v>103</v>
      </c>
      <c r="C15" s="7" t="s">
        <v>77</v>
      </c>
      <c r="D15" s="7" t="s">
        <v>104</v>
      </c>
      <c r="E15" s="7" t="s">
        <v>44</v>
      </c>
      <c r="F15" s="7" t="s">
        <v>54</v>
      </c>
      <c r="G15" s="7" t="s">
        <v>46</v>
      </c>
      <c r="H15" s="7" t="s">
        <v>47</v>
      </c>
      <c r="I15" s="7" t="s">
        <v>48</v>
      </c>
      <c r="J15" s="13" t="n">
        <v>72.4</v>
      </c>
      <c r="K15" s="13" t="n">
        <v>75.9</v>
      </c>
      <c r="L15" s="13" t="n">
        <v>80.7</v>
      </c>
      <c r="M15" s="13" t="n">
        <v>84.5</v>
      </c>
      <c r="N15" s="13" t="n">
        <v>88.1</v>
      </c>
      <c r="O15" s="13" t="n">
        <v>89</v>
      </c>
      <c r="P15" s="13" t="n">
        <v>93</v>
      </c>
      <c r="Q15" s="13" t="n">
        <v>97</v>
      </c>
      <c r="R15" s="13" t="n">
        <v>101</v>
      </c>
      <c r="S15" s="13" t="n">
        <v>105</v>
      </c>
      <c r="T15" s="14" t="n">
        <f aca="false">IF(D15="%",MAX(0,MIN(100,N15+(N15-J15))),N15+(N15-J15))</f>
        <v>103.8</v>
      </c>
      <c r="U15" s="7" t="str">
        <f aca="false">IF(E15="turun",IF(T15&lt;=S15+0.000000001,"Sesuai jalur",IF(T15&lt;=S15*1.05,"Perlu perhatian","Berisiko")),IF(T15&gt;=S15-0.000000001,"Sesuai jalur",IF(T15&gt;=S15*0.97,"Perlu perhatian","Berisiko")))</f>
        <v>Perlu perhatian</v>
      </c>
      <c r="V15" s="10" t="s">
        <v>60</v>
      </c>
      <c r="W15" s="10" t="s">
        <v>61</v>
      </c>
    </row>
    <row r="16" customFormat="false" ht="23.85" hidden="false" customHeight="false" outlineLevel="0" collapsed="false">
      <c r="A16" s="7" t="s">
        <v>105</v>
      </c>
      <c r="B16" s="7" t="s">
        <v>106</v>
      </c>
      <c r="C16" s="7" t="s">
        <v>77</v>
      </c>
      <c r="D16" s="7" t="s">
        <v>53</v>
      </c>
      <c r="E16" s="7" t="s">
        <v>44</v>
      </c>
      <c r="F16" s="7" t="s">
        <v>107</v>
      </c>
      <c r="G16" s="7" t="s">
        <v>65</v>
      </c>
      <c r="H16" s="7" t="s">
        <v>108</v>
      </c>
      <c r="I16" s="7" t="s">
        <v>108</v>
      </c>
      <c r="J16" s="13" t="n">
        <v>6.8</v>
      </c>
      <c r="K16" s="13" t="n">
        <v>7.1</v>
      </c>
      <c r="L16" s="13" t="n">
        <v>7.5</v>
      </c>
      <c r="M16" s="13" t="n">
        <v>7.8</v>
      </c>
      <c r="N16" s="13" t="n">
        <v>8.1</v>
      </c>
      <c r="O16" s="13" t="n">
        <v>8.5</v>
      </c>
      <c r="P16" s="13" t="n">
        <v>9.4</v>
      </c>
      <c r="Q16" s="13" t="n">
        <v>10.2</v>
      </c>
      <c r="R16" s="13" t="n">
        <v>11.1</v>
      </c>
      <c r="S16" s="13" t="n">
        <v>12</v>
      </c>
      <c r="T16" s="14" t="n">
        <f aca="false">IF(D16="%",MAX(0,MIN(100,N16+(N16-J16))),N16+(N16-J16))</f>
        <v>9.4</v>
      </c>
      <c r="U16" s="7" t="str">
        <f aca="false">IF(E16="turun",IF(T16&lt;=S16+0.000000001,"Sesuai jalur",IF(T16&lt;=S16*1.05,"Perlu perhatian","Berisiko")),IF(T16&gt;=S16-0.000000001,"Sesuai jalur",IF(T16&gt;=S16*0.97,"Perlu perhatian","Berisiko")))</f>
        <v>Berisiko</v>
      </c>
      <c r="V16" s="10" t="s">
        <v>109</v>
      </c>
      <c r="W16" s="10" t="s">
        <v>110</v>
      </c>
    </row>
    <row r="17" customFormat="false" ht="15" hidden="false" customHeight="false" outlineLevel="0" collapsed="false">
      <c r="A17" s="7" t="s">
        <v>111</v>
      </c>
      <c r="B17" s="7" t="s">
        <v>112</v>
      </c>
      <c r="C17" s="7" t="s">
        <v>113</v>
      </c>
      <c r="D17" s="7" t="s">
        <v>53</v>
      </c>
      <c r="E17" s="7" t="s">
        <v>44</v>
      </c>
      <c r="F17" s="7" t="s">
        <v>114</v>
      </c>
      <c r="G17" s="7" t="s">
        <v>65</v>
      </c>
      <c r="H17" s="7" t="s">
        <v>108</v>
      </c>
      <c r="I17" s="7" t="s">
        <v>108</v>
      </c>
      <c r="J17" s="8" t="n">
        <v>80.1</v>
      </c>
      <c r="K17" s="8" t="n">
        <v>82</v>
      </c>
      <c r="L17" s="8" t="n">
        <v>83.7</v>
      </c>
      <c r="M17" s="8" t="n">
        <v>85.2</v>
      </c>
      <c r="N17" s="8" t="n">
        <v>86.5</v>
      </c>
      <c r="O17" s="8" t="n">
        <v>86</v>
      </c>
      <c r="P17" s="8" t="n">
        <v>87</v>
      </c>
      <c r="Q17" s="8" t="n">
        <v>88</v>
      </c>
      <c r="R17" s="8" t="n">
        <v>89</v>
      </c>
      <c r="S17" s="8" t="n">
        <v>90</v>
      </c>
      <c r="T17" s="9" t="n">
        <f aca="false">IF(D17="%",MAX(0,MIN(100,N17+(N17-J17))),N17+(N17-J17))</f>
        <v>92.9</v>
      </c>
      <c r="U17" s="7" t="str">
        <f aca="false">IF(E17="turun",IF(T17&lt;=S17+0.000000001,"Sesuai jalur",IF(T17&lt;=S17*1.05,"Perlu perhatian","Berisiko")),IF(T17&gt;=S17-0.000000001,"Sesuai jalur",IF(T17&gt;=S17*0.97,"Perlu perhatian","Berisiko")))</f>
        <v>Sesuai jalur</v>
      </c>
      <c r="V17" s="10" t="s">
        <v>93</v>
      </c>
      <c r="W17" s="10" t="s">
        <v>94</v>
      </c>
    </row>
    <row r="18" customFormat="false" ht="35.05" hidden="false" customHeight="false" outlineLevel="0" collapsed="false">
      <c r="A18" s="7" t="s">
        <v>115</v>
      </c>
      <c r="B18" s="7" t="s">
        <v>116</v>
      </c>
      <c r="C18" s="7" t="s">
        <v>113</v>
      </c>
      <c r="D18" s="7" t="s">
        <v>53</v>
      </c>
      <c r="E18" s="7" t="s">
        <v>59</v>
      </c>
      <c r="F18" s="7" t="s">
        <v>114</v>
      </c>
      <c r="G18" s="7" t="s">
        <v>65</v>
      </c>
      <c r="H18" s="7" t="s">
        <v>108</v>
      </c>
      <c r="I18" s="7" t="s">
        <v>108</v>
      </c>
      <c r="J18" s="8" t="n">
        <v>17.9</v>
      </c>
      <c r="K18" s="8" t="n">
        <v>17.1</v>
      </c>
      <c r="L18" s="8" t="n">
        <v>16.2</v>
      </c>
      <c r="M18" s="8" t="n">
        <v>15.6</v>
      </c>
      <c r="N18" s="8" t="n">
        <v>14.8</v>
      </c>
      <c r="O18" s="8" t="n">
        <v>14.5</v>
      </c>
      <c r="P18" s="8" t="n">
        <v>13.38</v>
      </c>
      <c r="Q18" s="8" t="n">
        <v>12.25</v>
      </c>
      <c r="R18" s="8" t="n">
        <v>11.12</v>
      </c>
      <c r="S18" s="8" t="n">
        <v>10</v>
      </c>
      <c r="T18" s="9" t="n">
        <f aca="false">IF(D18="%",MAX(0,MIN(100,N18+(N18-J18))),N18+(N18-J18))</f>
        <v>11.7</v>
      </c>
      <c r="U18" s="7" t="str">
        <f aca="false">IF(E18="turun",IF(T18&lt;=S18+0.000000001,"Sesuai jalur",IF(T18&lt;=S18*1.05,"Perlu perhatian","Berisiko")),IF(T18&gt;=S18-0.000000001,"Sesuai jalur",IF(T18&gt;=S18*0.97,"Perlu perhatian","Berisiko")))</f>
        <v>Berisiko</v>
      </c>
      <c r="V18" s="10" t="s">
        <v>117</v>
      </c>
      <c r="W18" s="10" t="s">
        <v>118</v>
      </c>
    </row>
    <row r="19" customFormat="false" ht="15" hidden="false" customHeight="false" outlineLevel="0" collapsed="false">
      <c r="A19" s="7" t="s">
        <v>119</v>
      </c>
      <c r="B19" s="7" t="s">
        <v>120</v>
      </c>
      <c r="C19" s="7" t="s">
        <v>113</v>
      </c>
      <c r="D19" s="7" t="s">
        <v>53</v>
      </c>
      <c r="E19" s="7" t="s">
        <v>44</v>
      </c>
      <c r="F19" s="7" t="s">
        <v>121</v>
      </c>
      <c r="G19" s="7" t="s">
        <v>65</v>
      </c>
      <c r="H19" s="7" t="s">
        <v>122</v>
      </c>
      <c r="I19" s="7" t="s">
        <v>122</v>
      </c>
      <c r="J19" s="8" t="n">
        <v>86</v>
      </c>
      <c r="K19" s="8" t="n">
        <v>88.4</v>
      </c>
      <c r="L19" s="8" t="n">
        <v>90.6</v>
      </c>
      <c r="M19" s="8" t="n">
        <v>92.5</v>
      </c>
      <c r="N19" s="8" t="n">
        <v>94.2</v>
      </c>
      <c r="O19" s="8" t="n">
        <v>94</v>
      </c>
      <c r="P19" s="8" t="n">
        <v>95.5</v>
      </c>
      <c r="Q19" s="8" t="n">
        <v>97</v>
      </c>
      <c r="R19" s="8" t="n">
        <v>98.5</v>
      </c>
      <c r="S19" s="8" t="n">
        <v>100</v>
      </c>
      <c r="T19" s="9" t="n">
        <f aca="false">IF(D19="%",MAX(0,MIN(100,N19+(N19-J19))),N19+(N19-J19))</f>
        <v>100</v>
      </c>
      <c r="U19" s="7" t="str">
        <f aca="false">IF(E19="turun",IF(T19&lt;=S19+0.000000001,"Sesuai jalur",IF(T19&lt;=S19*1.05,"Perlu perhatian","Berisiko")),IF(T19&gt;=S19-0.000000001,"Sesuai jalur",IF(T19&gt;=S19*0.97,"Perlu perhatian","Berisiko")))</f>
        <v>Sesuai jalur</v>
      </c>
      <c r="V19" s="10" t="s">
        <v>93</v>
      </c>
      <c r="W19" s="10" t="s">
        <v>94</v>
      </c>
    </row>
    <row r="20" customFormat="false" ht="15" hidden="false" customHeight="false" outlineLevel="0" collapsed="false">
      <c r="A20" s="7" t="s">
        <v>123</v>
      </c>
      <c r="B20" s="7" t="s">
        <v>124</v>
      </c>
      <c r="C20" s="7" t="s">
        <v>113</v>
      </c>
      <c r="D20" s="7" t="s">
        <v>53</v>
      </c>
      <c r="E20" s="7" t="s">
        <v>44</v>
      </c>
      <c r="F20" s="7" t="s">
        <v>121</v>
      </c>
      <c r="G20" s="7" t="s">
        <v>65</v>
      </c>
      <c r="H20" s="7" t="s">
        <v>122</v>
      </c>
      <c r="I20" s="7" t="s">
        <v>122</v>
      </c>
      <c r="J20" s="8" t="n">
        <v>82.1</v>
      </c>
      <c r="K20" s="8" t="n">
        <v>83.63</v>
      </c>
      <c r="L20" s="8" t="n">
        <v>85.7</v>
      </c>
      <c r="M20" s="8" t="n">
        <v>87.77</v>
      </c>
      <c r="N20" s="8" t="n">
        <v>89.6</v>
      </c>
      <c r="O20" s="8" t="n">
        <v>90</v>
      </c>
      <c r="P20" s="8" t="n">
        <v>91.25</v>
      </c>
      <c r="Q20" s="8" t="n">
        <v>92.5</v>
      </c>
      <c r="R20" s="8" t="n">
        <v>93.75</v>
      </c>
      <c r="S20" s="8" t="n">
        <v>95</v>
      </c>
      <c r="T20" s="9" t="n">
        <f aca="false">IF(D20="%",MAX(0,MIN(100,N20+(N20-J20))),N20+(N20-J20))</f>
        <v>97.1</v>
      </c>
      <c r="U20" s="7" t="str">
        <f aca="false">IF(E20="turun",IF(T20&lt;=S20+0.000000001,"Sesuai jalur",IF(T20&lt;=S20*1.05,"Perlu perhatian","Berisiko")),IF(T20&gt;=S20-0.000000001,"Sesuai jalur",IF(T20&gt;=S20*0.97,"Perlu perhatian","Berisiko")))</f>
        <v>Sesuai jalur</v>
      </c>
      <c r="V20" s="10" t="s">
        <v>93</v>
      </c>
      <c r="W20" s="10" t="s">
        <v>94</v>
      </c>
    </row>
    <row r="21" customFormat="false" ht="23.85" hidden="false" customHeight="false" outlineLevel="0" collapsed="false">
      <c r="A21" s="7" t="s">
        <v>125</v>
      </c>
      <c r="B21" s="7" t="s">
        <v>126</v>
      </c>
      <c r="C21" s="7" t="s">
        <v>113</v>
      </c>
      <c r="D21" s="7" t="s">
        <v>127</v>
      </c>
      <c r="E21" s="7" t="s">
        <v>59</v>
      </c>
      <c r="F21" s="7" t="s">
        <v>121</v>
      </c>
      <c r="G21" s="7" t="s">
        <v>65</v>
      </c>
      <c r="H21" s="7" t="s">
        <v>122</v>
      </c>
      <c r="I21" s="7" t="s">
        <v>122</v>
      </c>
      <c r="J21" s="15" t="n">
        <v>412</v>
      </c>
      <c r="K21" s="15" t="n">
        <v>394</v>
      </c>
      <c r="L21" s="15" t="n">
        <v>374</v>
      </c>
      <c r="M21" s="15" t="n">
        <v>357</v>
      </c>
      <c r="N21" s="15" t="n">
        <v>336</v>
      </c>
      <c r="O21" s="15" t="n">
        <v>330</v>
      </c>
      <c r="P21" s="15" t="n">
        <v>310</v>
      </c>
      <c r="Q21" s="15" t="n">
        <v>290</v>
      </c>
      <c r="R21" s="15" t="n">
        <v>270</v>
      </c>
      <c r="S21" s="15" t="n">
        <v>250</v>
      </c>
      <c r="T21" s="16" t="n">
        <f aca="false">IF(D21="%",MAX(0,MIN(100,N21+(N21-J21))),N21+(N21-J21))</f>
        <v>260</v>
      </c>
      <c r="U21" s="7" t="str">
        <f aca="false">IF(E21="turun",IF(T21&lt;=S21+0.000000001,"Sesuai jalur",IF(T21&lt;=S21*1.05,"Perlu perhatian","Berisiko")),IF(T21&gt;=S21-0.000000001,"Sesuai jalur",IF(T21&gt;=S21*0.97,"Perlu perhatian","Berisiko")))</f>
        <v>Perlu perhatian</v>
      </c>
      <c r="V21" s="10" t="s">
        <v>60</v>
      </c>
      <c r="W21" s="10" t="s">
        <v>128</v>
      </c>
    </row>
    <row r="22" customFormat="false" ht="23.85" hidden="false" customHeight="false" outlineLevel="0" collapsed="false">
      <c r="A22" s="7" t="s">
        <v>129</v>
      </c>
      <c r="B22" s="7" t="s">
        <v>130</v>
      </c>
      <c r="C22" s="7" t="s">
        <v>113</v>
      </c>
      <c r="D22" s="7" t="s">
        <v>53</v>
      </c>
      <c r="E22" s="7" t="s">
        <v>44</v>
      </c>
      <c r="F22" s="7" t="s">
        <v>64</v>
      </c>
      <c r="G22" s="7" t="s">
        <v>65</v>
      </c>
      <c r="H22" s="7" t="s">
        <v>66</v>
      </c>
      <c r="I22" s="7" t="s">
        <v>66</v>
      </c>
      <c r="J22" s="13" t="n">
        <v>61</v>
      </c>
      <c r="K22" s="13" t="n">
        <v>64.1</v>
      </c>
      <c r="L22" s="13" t="n">
        <v>66.3</v>
      </c>
      <c r="M22" s="13" t="n">
        <v>69.5</v>
      </c>
      <c r="N22" s="13" t="n">
        <v>72.4</v>
      </c>
      <c r="O22" s="13" t="n">
        <v>73</v>
      </c>
      <c r="P22" s="13" t="n">
        <v>76</v>
      </c>
      <c r="Q22" s="13" t="n">
        <v>79</v>
      </c>
      <c r="R22" s="13" t="n">
        <v>82</v>
      </c>
      <c r="S22" s="13" t="n">
        <v>85</v>
      </c>
      <c r="T22" s="14" t="n">
        <f aca="false">IF(D22="%",MAX(0,MIN(100,N22+(N22-J22))),N22+(N22-J22))</f>
        <v>83.8</v>
      </c>
      <c r="U22" s="7" t="str">
        <f aca="false">IF(E22="turun",IF(T22&lt;=S22+0.000000001,"Sesuai jalur",IF(T22&lt;=S22*1.05,"Perlu perhatian","Berisiko")),IF(T22&gt;=S22-0.000000001,"Sesuai jalur",IF(T22&gt;=S22*0.97,"Perlu perhatian","Berisiko")))</f>
        <v>Perlu perhatian</v>
      </c>
      <c r="V22" s="10" t="s">
        <v>60</v>
      </c>
      <c r="W22" s="10" t="s">
        <v>131</v>
      </c>
    </row>
    <row r="23" customFormat="false" ht="15" hidden="false" customHeight="false" outlineLevel="0" collapsed="false">
      <c r="A23" s="7" t="s">
        <v>132</v>
      </c>
      <c r="B23" s="7" t="s">
        <v>133</v>
      </c>
      <c r="C23" s="7" t="s">
        <v>113</v>
      </c>
      <c r="D23" s="7" t="s">
        <v>53</v>
      </c>
      <c r="E23" s="7" t="s">
        <v>44</v>
      </c>
      <c r="F23" s="7" t="s">
        <v>45</v>
      </c>
      <c r="G23" s="7" t="s">
        <v>46</v>
      </c>
      <c r="H23" s="7" t="s">
        <v>99</v>
      </c>
      <c r="I23" s="7" t="s">
        <v>99</v>
      </c>
      <c r="J23" s="13" t="n">
        <v>88</v>
      </c>
      <c r="K23" s="13" t="n">
        <v>89.2</v>
      </c>
      <c r="L23" s="13" t="n">
        <v>90.9</v>
      </c>
      <c r="M23" s="13" t="n">
        <v>92</v>
      </c>
      <c r="N23" s="13" t="n">
        <v>93.5</v>
      </c>
      <c r="O23" s="13" t="n">
        <v>93</v>
      </c>
      <c r="P23" s="13" t="n">
        <v>93.5</v>
      </c>
      <c r="Q23" s="13" t="n">
        <v>94</v>
      </c>
      <c r="R23" s="13" t="n">
        <v>94.5</v>
      </c>
      <c r="S23" s="13" t="n">
        <v>95</v>
      </c>
      <c r="T23" s="14" t="n">
        <f aca="false">IF(D23="%",MAX(0,MIN(100,N23+(N23-J23))),N23+(N23-J23))</f>
        <v>99</v>
      </c>
      <c r="U23" s="7" t="str">
        <f aca="false">IF(E23="turun",IF(T23&lt;=S23+0.000000001,"Sesuai jalur",IF(T23&lt;=S23*1.05,"Perlu perhatian","Berisiko")),IF(T23&gt;=S23-0.000000001,"Sesuai jalur",IF(T23&gt;=S23*0.97,"Perlu perhatian","Berisiko")))</f>
        <v>Sesuai jalur</v>
      </c>
      <c r="V23" s="10" t="s">
        <v>93</v>
      </c>
      <c r="W23" s="10" t="s">
        <v>94</v>
      </c>
    </row>
    <row r="24" customFormat="false" ht="15" hidden="false" customHeight="false" outlineLevel="0" collapsed="false">
      <c r="A24" s="7" t="s">
        <v>134</v>
      </c>
      <c r="B24" s="7" t="s">
        <v>135</v>
      </c>
      <c r="C24" s="7" t="s">
        <v>113</v>
      </c>
      <c r="D24" s="7" t="s">
        <v>136</v>
      </c>
      <c r="E24" s="7" t="s">
        <v>59</v>
      </c>
      <c r="F24" s="7" t="s">
        <v>45</v>
      </c>
      <c r="G24" s="7" t="s">
        <v>46</v>
      </c>
      <c r="H24" s="7" t="s">
        <v>99</v>
      </c>
      <c r="I24" s="7" t="s">
        <v>99</v>
      </c>
      <c r="J24" s="15" t="n">
        <v>98</v>
      </c>
      <c r="K24" s="15" t="n">
        <v>95</v>
      </c>
      <c r="L24" s="15" t="n">
        <v>91</v>
      </c>
      <c r="M24" s="15" t="n">
        <v>88</v>
      </c>
      <c r="N24" s="15" t="n">
        <v>84</v>
      </c>
      <c r="O24" s="15" t="n">
        <v>84</v>
      </c>
      <c r="P24" s="15" t="n">
        <v>80</v>
      </c>
      <c r="Q24" s="15" t="n">
        <v>77</v>
      </c>
      <c r="R24" s="15" t="n">
        <v>74</v>
      </c>
      <c r="S24" s="15" t="n">
        <v>70</v>
      </c>
      <c r="T24" s="16" t="n">
        <f aca="false">IF(D24="%",MAX(0,MIN(100,N24+(N24-J24))),N24+(N24-J24))</f>
        <v>70</v>
      </c>
      <c r="U24" s="7" t="str">
        <f aca="false">IF(E24="turun",IF(T24&lt;=S24+0.000000001,"Sesuai jalur",IF(T24&lt;=S24*1.05,"Perlu perhatian","Berisiko")),IF(T24&gt;=S24-0.000000001,"Sesuai jalur",IF(T24&gt;=S24*0.97,"Perlu perhatian","Berisiko")))</f>
        <v>Sesuai jalur</v>
      </c>
      <c r="V24" s="10" t="s">
        <v>93</v>
      </c>
      <c r="W24" s="10" t="s">
        <v>94</v>
      </c>
    </row>
    <row r="25" customFormat="false" ht="23.85" hidden="false" customHeight="false" outlineLevel="0" collapsed="false">
      <c r="A25" s="7" t="s">
        <v>137</v>
      </c>
      <c r="B25" s="7" t="s">
        <v>138</v>
      </c>
      <c r="C25" s="7" t="s">
        <v>113</v>
      </c>
      <c r="D25" s="7" t="s">
        <v>53</v>
      </c>
      <c r="E25" s="7" t="s">
        <v>44</v>
      </c>
      <c r="F25" s="7" t="s">
        <v>91</v>
      </c>
      <c r="G25" s="7" t="s">
        <v>46</v>
      </c>
      <c r="H25" s="7" t="s">
        <v>92</v>
      </c>
      <c r="I25" s="7" t="s">
        <v>92</v>
      </c>
      <c r="J25" s="8" t="n">
        <v>78.4</v>
      </c>
      <c r="K25" s="8" t="n">
        <v>78.99</v>
      </c>
      <c r="L25" s="8" t="n">
        <v>79.7</v>
      </c>
      <c r="M25" s="8" t="n">
        <v>80.47</v>
      </c>
      <c r="N25" s="8" t="n">
        <v>81.2</v>
      </c>
      <c r="O25" s="8" t="n">
        <v>81.5</v>
      </c>
      <c r="P25" s="8" t="n">
        <v>82.62</v>
      </c>
      <c r="Q25" s="8" t="n">
        <v>83.75</v>
      </c>
      <c r="R25" s="8" t="n">
        <v>84.88</v>
      </c>
      <c r="S25" s="8" t="n">
        <v>86</v>
      </c>
      <c r="T25" s="9" t="n">
        <f aca="false">IF(D25="%",MAX(0,MIN(100,N25+(N25-J25))),N25+(N25-J25))</f>
        <v>84</v>
      </c>
      <c r="U25" s="7" t="str">
        <f aca="false">IF(E25="turun",IF(T25&lt;=S25+0.000000001,"Sesuai jalur",IF(T25&lt;=S25*1.05,"Perlu perhatian","Berisiko")),IF(T25&gt;=S25-0.000000001,"Sesuai jalur",IF(T25&gt;=S25*0.97,"Perlu perhatian","Berisiko")))</f>
        <v>Perlu perhatian</v>
      </c>
      <c r="V25" s="10" t="s">
        <v>60</v>
      </c>
      <c r="W25" s="10" t="s">
        <v>139</v>
      </c>
    </row>
    <row r="26" customFormat="false" ht="15" hidden="false" customHeight="false" outlineLevel="0" collapsed="false">
      <c r="A26" s="7" t="s">
        <v>140</v>
      </c>
      <c r="B26" s="7" t="s">
        <v>141</v>
      </c>
      <c r="C26" s="7" t="s">
        <v>113</v>
      </c>
      <c r="D26" s="7" t="s">
        <v>53</v>
      </c>
      <c r="E26" s="7" t="s">
        <v>44</v>
      </c>
      <c r="F26" s="7" t="s">
        <v>84</v>
      </c>
      <c r="G26" s="7" t="s">
        <v>46</v>
      </c>
      <c r="H26" s="7" t="s">
        <v>85</v>
      </c>
      <c r="I26" s="7" t="s">
        <v>85</v>
      </c>
      <c r="J26" s="13" t="n">
        <v>22</v>
      </c>
      <c r="K26" s="13" t="n">
        <v>24.2</v>
      </c>
      <c r="L26" s="13" t="n">
        <v>27</v>
      </c>
      <c r="M26" s="13" t="n">
        <v>28.9</v>
      </c>
      <c r="N26" s="13" t="n">
        <v>31.5</v>
      </c>
      <c r="O26" s="13" t="n">
        <v>32</v>
      </c>
      <c r="P26" s="13" t="n">
        <v>34</v>
      </c>
      <c r="Q26" s="13" t="n">
        <v>36</v>
      </c>
      <c r="R26" s="13" t="n">
        <v>38</v>
      </c>
      <c r="S26" s="13" t="n">
        <v>40</v>
      </c>
      <c r="T26" s="14" t="n">
        <f aca="false">IF(D26="%",MAX(0,MIN(100,N26+(N26-J26))),N26+(N26-J26))</f>
        <v>41</v>
      </c>
      <c r="U26" s="7" t="str">
        <f aca="false">IF(E26="turun",IF(T26&lt;=S26+0.000000001,"Sesuai jalur",IF(T26&lt;=S26*1.05,"Perlu perhatian","Berisiko")),IF(T26&gt;=S26-0.000000001,"Sesuai jalur",IF(T26&gt;=S26*0.97,"Perlu perhatian","Berisiko")))</f>
        <v>Sesuai jalur</v>
      </c>
      <c r="V26" s="10" t="s">
        <v>93</v>
      </c>
      <c r="W26" s="10" t="s">
        <v>94</v>
      </c>
    </row>
    <row r="27" customFormat="false" ht="35.05" hidden="false" customHeight="false" outlineLevel="0" collapsed="false">
      <c r="A27" s="7" t="s">
        <v>142</v>
      </c>
      <c r="B27" s="7" t="s">
        <v>143</v>
      </c>
      <c r="C27" s="7" t="s">
        <v>113</v>
      </c>
      <c r="D27" s="7" t="s">
        <v>53</v>
      </c>
      <c r="E27" s="7" t="s">
        <v>44</v>
      </c>
      <c r="F27" s="7" t="s">
        <v>78</v>
      </c>
      <c r="G27" s="7" t="s">
        <v>46</v>
      </c>
      <c r="H27" s="7" t="s">
        <v>79</v>
      </c>
      <c r="I27" s="7" t="s">
        <v>79</v>
      </c>
      <c r="J27" s="13" t="n">
        <v>64</v>
      </c>
      <c r="K27" s="13" t="n">
        <v>65.6</v>
      </c>
      <c r="L27" s="13" t="n">
        <v>67.4</v>
      </c>
      <c r="M27" s="13" t="n">
        <v>69.5</v>
      </c>
      <c r="N27" s="13" t="n">
        <v>71.2</v>
      </c>
      <c r="O27" s="13" t="n">
        <v>73</v>
      </c>
      <c r="P27" s="13" t="n">
        <v>76</v>
      </c>
      <c r="Q27" s="13" t="n">
        <v>79</v>
      </c>
      <c r="R27" s="13" t="n">
        <v>82</v>
      </c>
      <c r="S27" s="13" t="n">
        <v>85</v>
      </c>
      <c r="T27" s="14" t="n">
        <f aca="false">IF(D27="%",MAX(0,MIN(100,N27+(N27-J27))),N27+(N27-J27))</f>
        <v>78.4</v>
      </c>
      <c r="U27" s="7" t="str">
        <f aca="false">IF(E27="turun",IF(T27&lt;=S27+0.000000001,"Sesuai jalur",IF(T27&lt;=S27*1.05,"Perlu perhatian","Berisiko")),IF(T27&gt;=S27-0.000000001,"Sesuai jalur",IF(T27&gt;=S27*0.97,"Perlu perhatian","Berisiko")))</f>
        <v>Berisiko</v>
      </c>
      <c r="V27" s="10" t="s">
        <v>144</v>
      </c>
      <c r="W27" s="10" t="s">
        <v>145</v>
      </c>
    </row>
    <row r="28" customFormat="false" ht="15" hidden="false" customHeight="false" outlineLevel="0" collapsed="false">
      <c r="A28" s="7" t="s">
        <v>146</v>
      </c>
      <c r="B28" s="7" t="s">
        <v>147</v>
      </c>
      <c r="C28" s="7" t="s">
        <v>113</v>
      </c>
      <c r="D28" s="7" t="s">
        <v>53</v>
      </c>
      <c r="E28" s="7" t="s">
        <v>44</v>
      </c>
      <c r="F28" s="7" t="s">
        <v>148</v>
      </c>
      <c r="G28" s="7" t="s">
        <v>46</v>
      </c>
      <c r="H28" s="7" t="s">
        <v>149</v>
      </c>
      <c r="I28" s="7" t="s">
        <v>149</v>
      </c>
      <c r="J28" s="13" t="n">
        <v>3.1</v>
      </c>
      <c r="K28" s="13" t="n">
        <v>3.4</v>
      </c>
      <c r="L28" s="13" t="n">
        <v>3.8</v>
      </c>
      <c r="M28" s="13" t="n">
        <v>4.2</v>
      </c>
      <c r="N28" s="13" t="n">
        <v>4.6</v>
      </c>
      <c r="O28" s="13" t="n">
        <v>4.6</v>
      </c>
      <c r="P28" s="13" t="n">
        <v>4.9</v>
      </c>
      <c r="Q28" s="13" t="n">
        <v>5.3</v>
      </c>
      <c r="R28" s="13" t="n">
        <v>5.7</v>
      </c>
      <c r="S28" s="13" t="n">
        <v>6</v>
      </c>
      <c r="T28" s="14" t="n">
        <f aca="false">IF(D28="%",MAX(0,MIN(100,N28+(N28-J28))),N28+(N28-J28))</f>
        <v>6.1</v>
      </c>
      <c r="U28" s="7" t="str">
        <f aca="false">IF(E28="turun",IF(T28&lt;=S28+0.000000001,"Sesuai jalur",IF(T28&lt;=S28*1.05,"Perlu perhatian","Berisiko")),IF(T28&gt;=S28-0.000000001,"Sesuai jalur",IF(T28&gt;=S28*0.97,"Perlu perhatian","Berisiko")))</f>
        <v>Sesuai jalur</v>
      </c>
      <c r="V28" s="10" t="s">
        <v>93</v>
      </c>
      <c r="W28" s="10" t="s">
        <v>94</v>
      </c>
    </row>
    <row r="29" customFormat="false" ht="15" hidden="false" customHeight="false" outlineLevel="0" collapsed="false">
      <c r="A29" s="7" t="s">
        <v>150</v>
      </c>
      <c r="B29" s="7" t="s">
        <v>151</v>
      </c>
      <c r="C29" s="7" t="s">
        <v>113</v>
      </c>
      <c r="D29" s="7" t="s">
        <v>152</v>
      </c>
      <c r="E29" s="7" t="s">
        <v>44</v>
      </c>
      <c r="F29" s="7" t="s">
        <v>153</v>
      </c>
      <c r="G29" s="7" t="s">
        <v>46</v>
      </c>
      <c r="H29" s="7" t="s">
        <v>154</v>
      </c>
      <c r="I29" s="7" t="s">
        <v>154</v>
      </c>
      <c r="J29" s="8" t="n">
        <v>1.42</v>
      </c>
      <c r="K29" s="8" t="n">
        <v>1.79</v>
      </c>
      <c r="L29" s="8" t="n">
        <v>2.16</v>
      </c>
      <c r="M29" s="8" t="n">
        <v>2.45</v>
      </c>
      <c r="N29" s="8" t="n">
        <v>2.86</v>
      </c>
      <c r="O29" s="8" t="n">
        <v>2.8</v>
      </c>
      <c r="P29" s="8" t="n">
        <v>2.97</v>
      </c>
      <c r="Q29" s="8" t="n">
        <v>3.15</v>
      </c>
      <c r="R29" s="8" t="n">
        <v>3.33</v>
      </c>
      <c r="S29" s="8" t="n">
        <v>3.5</v>
      </c>
      <c r="T29" s="9" t="n">
        <f aca="false">IF(D29="%",MAX(0,MIN(100,N29+(N29-J29))),N29+(N29-J29))</f>
        <v>4.3</v>
      </c>
      <c r="U29" s="7" t="str">
        <f aca="false">IF(E29="turun",IF(T29&lt;=S29+0.000000001,"Sesuai jalur",IF(T29&lt;=S29*1.05,"Perlu perhatian","Berisiko")),IF(T29&gt;=S29-0.000000001,"Sesuai jalur",IF(T29&gt;=S29*0.97,"Perlu perhatian","Berisiko")))</f>
        <v>Sesuai jalur</v>
      </c>
      <c r="V29" s="10" t="s">
        <v>93</v>
      </c>
      <c r="W29" s="10" t="s">
        <v>94</v>
      </c>
    </row>
    <row r="30" customFormat="false" ht="23.85" hidden="false" customHeight="false" outlineLevel="0" collapsed="false">
      <c r="A30" s="7" t="s">
        <v>155</v>
      </c>
      <c r="B30" s="7" t="s">
        <v>156</v>
      </c>
      <c r="C30" s="7" t="s">
        <v>113</v>
      </c>
      <c r="D30" s="7" t="s">
        <v>43</v>
      </c>
      <c r="E30" s="7" t="s">
        <v>44</v>
      </c>
      <c r="F30" s="7" t="s">
        <v>157</v>
      </c>
      <c r="G30" s="7" t="s">
        <v>46</v>
      </c>
      <c r="H30" s="7" t="s">
        <v>158</v>
      </c>
      <c r="I30" s="7" t="s">
        <v>158</v>
      </c>
      <c r="J30" s="13" t="n">
        <v>82.5</v>
      </c>
      <c r="K30" s="13" t="n">
        <v>83.5</v>
      </c>
      <c r="L30" s="13" t="n">
        <v>84.3</v>
      </c>
      <c r="M30" s="13" t="n">
        <v>85.1</v>
      </c>
      <c r="N30" s="13" t="n">
        <v>86.1</v>
      </c>
      <c r="O30" s="13" t="n">
        <v>87</v>
      </c>
      <c r="P30" s="13" t="n">
        <v>88.2</v>
      </c>
      <c r="Q30" s="13" t="n">
        <v>89.5</v>
      </c>
      <c r="R30" s="13" t="n">
        <v>90.8</v>
      </c>
      <c r="S30" s="13" t="n">
        <v>92</v>
      </c>
      <c r="T30" s="14" t="n">
        <f aca="false">IF(D30="%",MAX(0,MIN(100,N30+(N30-J30))),N30+(N30-J30))</f>
        <v>89.7</v>
      </c>
      <c r="U30" s="7" t="str">
        <f aca="false">IF(E30="turun",IF(T30&lt;=S30+0.000000001,"Sesuai jalur",IF(T30&lt;=S30*1.05,"Perlu perhatian","Berisiko")),IF(T30&gt;=S30-0.000000001,"Sesuai jalur",IF(T30&gt;=S30*0.97,"Perlu perhatian","Berisiko")))</f>
        <v>Perlu perhatian</v>
      </c>
      <c r="V30" s="10" t="s">
        <v>60</v>
      </c>
      <c r="W30" s="10" t="s">
        <v>159</v>
      </c>
    </row>
    <row r="31" customFormat="false" ht="15" hidden="false" customHeight="false" outlineLevel="0" collapsed="false">
      <c r="A31" s="7" t="s">
        <v>160</v>
      </c>
      <c r="B31" s="7" t="s">
        <v>161</v>
      </c>
      <c r="C31" s="7" t="s">
        <v>113</v>
      </c>
      <c r="D31" s="7" t="s">
        <v>53</v>
      </c>
      <c r="E31" s="7" t="s">
        <v>44</v>
      </c>
      <c r="F31" s="7" t="s">
        <v>162</v>
      </c>
      <c r="G31" s="7" t="s">
        <v>65</v>
      </c>
      <c r="H31" s="7" t="s">
        <v>163</v>
      </c>
      <c r="I31" s="7" t="s">
        <v>163</v>
      </c>
      <c r="J31" s="13" t="n">
        <v>18</v>
      </c>
      <c r="K31" s="13" t="n">
        <v>21.4</v>
      </c>
      <c r="L31" s="13" t="n">
        <v>25.8</v>
      </c>
      <c r="M31" s="13" t="n">
        <v>30.6</v>
      </c>
      <c r="N31" s="13" t="n">
        <v>34</v>
      </c>
      <c r="O31" s="13" t="n">
        <v>34</v>
      </c>
      <c r="P31" s="13" t="n">
        <v>38</v>
      </c>
      <c r="Q31" s="13" t="n">
        <v>42</v>
      </c>
      <c r="R31" s="13" t="n">
        <v>46</v>
      </c>
      <c r="S31" s="13" t="n">
        <v>50</v>
      </c>
      <c r="T31" s="14" t="n">
        <f aca="false">IF(D31="%",MAX(0,MIN(100,N31+(N31-J31))),N31+(N31-J31))</f>
        <v>50</v>
      </c>
      <c r="U31" s="7" t="str">
        <f aca="false">IF(E31="turun",IF(T31&lt;=S31+0.000000001,"Sesuai jalur",IF(T31&lt;=S31*1.05,"Perlu perhatian","Berisiko")),IF(T31&gt;=S31-0.000000001,"Sesuai jalur",IF(T31&gt;=S31*0.97,"Perlu perhatian","Berisiko")))</f>
        <v>Sesuai jalur</v>
      </c>
      <c r="V31" s="10" t="s">
        <v>93</v>
      </c>
      <c r="W31" s="10" t="s">
        <v>94</v>
      </c>
    </row>
    <row r="32" customFormat="false" ht="15" hidden="false" customHeight="false" outlineLevel="0" collapsed="false">
      <c r="A32" s="7" t="s">
        <v>164</v>
      </c>
      <c r="B32" s="7" t="s">
        <v>165</v>
      </c>
      <c r="C32" s="7" t="s">
        <v>113</v>
      </c>
      <c r="D32" s="7" t="s">
        <v>43</v>
      </c>
      <c r="E32" s="7" t="s">
        <v>44</v>
      </c>
      <c r="F32" s="7" t="s">
        <v>166</v>
      </c>
      <c r="G32" s="7" t="s">
        <v>71</v>
      </c>
      <c r="H32" s="7" t="s">
        <v>167</v>
      </c>
      <c r="I32" s="7" t="s">
        <v>167</v>
      </c>
      <c r="J32" s="8" t="n">
        <v>2.41</v>
      </c>
      <c r="K32" s="8" t="n">
        <v>2.56</v>
      </c>
      <c r="L32" s="8" t="n">
        <v>2.78</v>
      </c>
      <c r="M32" s="8" t="n">
        <v>2.96</v>
      </c>
      <c r="N32" s="8" t="n">
        <v>3.12</v>
      </c>
      <c r="O32" s="8" t="n">
        <v>3.2</v>
      </c>
      <c r="P32" s="8" t="n">
        <v>3.35</v>
      </c>
      <c r="Q32" s="8" t="n">
        <v>3.5</v>
      </c>
      <c r="R32" s="8" t="n">
        <v>3.65</v>
      </c>
      <c r="S32" s="8" t="n">
        <v>3.8</v>
      </c>
      <c r="T32" s="9" t="n">
        <f aca="false">IF(D32="%",MAX(0,MIN(100,N32+(N32-J32))),N32+(N32-J32))</f>
        <v>3.83</v>
      </c>
      <c r="U32" s="7" t="str">
        <f aca="false">IF(E32="turun",IF(T32&lt;=S32+0.000000001,"Sesuai jalur",IF(T32&lt;=S32*1.05,"Perlu perhatian","Berisiko")),IF(T32&gt;=S32-0.000000001,"Sesuai jalur",IF(T32&gt;=S32*0.97,"Perlu perhatian","Berisiko")))</f>
        <v>Sesuai jalur</v>
      </c>
      <c r="V32" s="10" t="s">
        <v>93</v>
      </c>
      <c r="W32" s="10" t="s">
        <v>94</v>
      </c>
    </row>
    <row r="33" customFormat="false" ht="23.85" hidden="false" customHeight="false" outlineLevel="0" collapsed="false">
      <c r="A33" s="7" t="s">
        <v>168</v>
      </c>
      <c r="B33" s="7" t="s">
        <v>169</v>
      </c>
      <c r="C33" s="7" t="s">
        <v>113</v>
      </c>
      <c r="D33" s="7" t="s">
        <v>170</v>
      </c>
      <c r="E33" s="7" t="s">
        <v>44</v>
      </c>
      <c r="F33" s="7" t="s">
        <v>71</v>
      </c>
      <c r="G33" s="7" t="s">
        <v>71</v>
      </c>
      <c r="H33" s="7" t="s">
        <v>72</v>
      </c>
      <c r="I33" s="7" t="s">
        <v>72</v>
      </c>
      <c r="J33" s="15" t="n">
        <v>4</v>
      </c>
      <c r="K33" s="15" t="n">
        <v>5</v>
      </c>
      <c r="L33" s="15" t="n">
        <v>7</v>
      </c>
      <c r="M33" s="15" t="n">
        <v>8</v>
      </c>
      <c r="N33" s="15" t="n">
        <v>9</v>
      </c>
      <c r="O33" s="15" t="n">
        <v>10</v>
      </c>
      <c r="P33" s="15" t="n">
        <v>11</v>
      </c>
      <c r="Q33" s="15" t="n">
        <v>12</v>
      </c>
      <c r="R33" s="15" t="n">
        <v>14</v>
      </c>
      <c r="S33" s="15" t="n">
        <v>15</v>
      </c>
      <c r="T33" s="16" t="n">
        <f aca="false">IF(D33="%",MAX(0,MIN(100,N33+(N33-J33))),N33+(N33-J33))</f>
        <v>14</v>
      </c>
      <c r="U33" s="7" t="str">
        <f aca="false">IF(E33="turun",IF(T33&lt;=S33+0.000000001,"Sesuai jalur",IF(T33&lt;=S33*1.05,"Perlu perhatian","Berisiko")),IF(T33&gt;=S33-0.000000001,"Sesuai jalur",IF(T33&gt;=S33*0.97,"Perlu perhatian","Berisiko")))</f>
        <v>Berisiko</v>
      </c>
      <c r="V33" s="10" t="s">
        <v>171</v>
      </c>
      <c r="W33" s="10" t="s">
        <v>74</v>
      </c>
    </row>
  </sheetData>
  <autoFilter ref="A3:W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34"/>
    <col collapsed="false" customWidth="true" hidden="false" outlineLevel="0" max="4" min="4" style="0" width="30"/>
    <col collapsed="false" customWidth="true" hidden="false" outlineLevel="0" max="5" min="5" style="0" width="18"/>
    <col collapsed="false" customWidth="true" hidden="false" outlineLevel="0" max="6" min="6" style="0" width="14"/>
    <col collapsed="false" customWidth="true" hidden="false" outlineLevel="0" max="7" min="7" style="0" width="70"/>
  </cols>
  <sheetData>
    <row r="1" customFormat="false" ht="15" hidden="false" customHeight="false" outlineLevel="0" collapsed="false">
      <c r="A1" s="5" t="s">
        <v>172</v>
      </c>
    </row>
    <row r="3" customFormat="false" ht="30" hidden="false" customHeight="true" outlineLevel="0" collapsed="false">
      <c r="A3" s="6" t="s">
        <v>173</v>
      </c>
      <c r="B3" s="6" t="s">
        <v>174</v>
      </c>
      <c r="C3" s="6" t="s">
        <v>24</v>
      </c>
      <c r="D3" s="6" t="s">
        <v>175</v>
      </c>
      <c r="E3" s="6" t="s">
        <v>176</v>
      </c>
      <c r="F3" s="6" t="s">
        <v>177</v>
      </c>
      <c r="G3" s="6" t="s">
        <v>178</v>
      </c>
    </row>
    <row r="4" customFormat="false" ht="15" hidden="false" customHeight="false" outlineLevel="0" collapsed="false">
      <c r="A4" s="7" t="s">
        <v>179</v>
      </c>
      <c r="B4" s="7" t="s">
        <v>180</v>
      </c>
      <c r="C4" s="7" t="s">
        <v>79</v>
      </c>
      <c r="D4" s="7" t="s">
        <v>181</v>
      </c>
      <c r="E4" s="17" t="n">
        <v>38500</v>
      </c>
      <c r="F4" s="18" t="n">
        <v>0.912</v>
      </c>
      <c r="G4" s="10" t="s">
        <v>182</v>
      </c>
    </row>
    <row r="5" customFormat="false" ht="15" hidden="false" customHeight="false" outlineLevel="0" collapsed="false">
      <c r="A5" s="7" t="s">
        <v>183</v>
      </c>
      <c r="B5" s="7" t="s">
        <v>184</v>
      </c>
      <c r="C5" s="7" t="s">
        <v>79</v>
      </c>
      <c r="D5" s="7" t="s">
        <v>142</v>
      </c>
      <c r="E5" s="17" t="n">
        <v>12400</v>
      </c>
      <c r="F5" s="18" t="n">
        <v>0.885</v>
      </c>
      <c r="G5" s="10" t="s">
        <v>185</v>
      </c>
    </row>
    <row r="6" customFormat="false" ht="15" hidden="false" customHeight="false" outlineLevel="0" collapsed="false">
      <c r="A6" s="7" t="s">
        <v>186</v>
      </c>
      <c r="B6" s="7" t="s">
        <v>187</v>
      </c>
      <c r="C6" s="7" t="s">
        <v>85</v>
      </c>
      <c r="D6" s="7" t="s">
        <v>188</v>
      </c>
      <c r="E6" s="17" t="n">
        <v>9800</v>
      </c>
      <c r="F6" s="18" t="n">
        <v>0.934</v>
      </c>
      <c r="G6" s="10" t="s">
        <v>189</v>
      </c>
    </row>
    <row r="7" customFormat="false" ht="15" hidden="false" customHeight="false" outlineLevel="0" collapsed="false">
      <c r="A7" s="7" t="s">
        <v>190</v>
      </c>
      <c r="B7" s="7" t="s">
        <v>191</v>
      </c>
      <c r="C7" s="7" t="s">
        <v>85</v>
      </c>
      <c r="D7" s="7" t="s">
        <v>188</v>
      </c>
      <c r="E7" s="17" t="n">
        <v>4200</v>
      </c>
      <c r="F7" s="18" t="n">
        <v>0.951</v>
      </c>
      <c r="G7" s="10" t="s">
        <v>192</v>
      </c>
    </row>
    <row r="8" customFormat="false" ht="15" hidden="false" customHeight="false" outlineLevel="0" collapsed="false">
      <c r="A8" s="7" t="s">
        <v>193</v>
      </c>
      <c r="B8" s="7" t="s">
        <v>194</v>
      </c>
      <c r="C8" s="7" t="s">
        <v>92</v>
      </c>
      <c r="D8" s="7" t="s">
        <v>195</v>
      </c>
      <c r="E8" s="17" t="n">
        <v>412000</v>
      </c>
      <c r="F8" s="18" t="n">
        <v>0.963</v>
      </c>
      <c r="G8" s="10" t="s">
        <v>196</v>
      </c>
    </row>
    <row r="9" customFormat="false" ht="15" hidden="false" customHeight="false" outlineLevel="0" collapsed="false">
      <c r="A9" s="7" t="s">
        <v>197</v>
      </c>
      <c r="B9" s="7" t="s">
        <v>198</v>
      </c>
      <c r="C9" s="7" t="s">
        <v>92</v>
      </c>
      <c r="D9" s="7" t="s">
        <v>199</v>
      </c>
      <c r="E9" s="17" t="n">
        <v>86500</v>
      </c>
      <c r="F9" s="18" t="n">
        <v>0.97</v>
      </c>
      <c r="G9" s="10" t="s">
        <v>192</v>
      </c>
    </row>
    <row r="10" customFormat="false" ht="15" hidden="false" customHeight="false" outlineLevel="0" collapsed="false">
      <c r="A10" s="7" t="s">
        <v>200</v>
      </c>
      <c r="B10" s="7" t="s">
        <v>201</v>
      </c>
      <c r="C10" s="7" t="s">
        <v>99</v>
      </c>
      <c r="D10" s="7" t="s">
        <v>202</v>
      </c>
      <c r="E10" s="17" t="n">
        <v>268000</v>
      </c>
      <c r="F10" s="18" t="n">
        <v>0.948</v>
      </c>
      <c r="G10" s="10" t="s">
        <v>203</v>
      </c>
    </row>
    <row r="11" customFormat="false" ht="15" hidden="false" customHeight="false" outlineLevel="0" collapsed="false">
      <c r="A11" s="7" t="s">
        <v>204</v>
      </c>
      <c r="B11" s="7" t="s">
        <v>205</v>
      </c>
      <c r="C11" s="7" t="s">
        <v>99</v>
      </c>
      <c r="D11" s="7" t="s">
        <v>206</v>
      </c>
      <c r="E11" s="17" t="n">
        <v>15800</v>
      </c>
      <c r="F11" s="18" t="n">
        <v>0.921</v>
      </c>
      <c r="G11" s="10" t="s">
        <v>192</v>
      </c>
    </row>
    <row r="12" customFormat="false" ht="15" hidden="false" customHeight="false" outlineLevel="0" collapsed="false">
      <c r="A12" s="7" t="s">
        <v>207</v>
      </c>
      <c r="B12" s="7" t="s">
        <v>208</v>
      </c>
      <c r="C12" s="7" t="s">
        <v>149</v>
      </c>
      <c r="D12" s="7" t="s">
        <v>209</v>
      </c>
      <c r="E12" s="17" t="n">
        <v>11200</v>
      </c>
      <c r="F12" s="18" t="n">
        <v>0.906</v>
      </c>
      <c r="G12" s="10" t="s">
        <v>192</v>
      </c>
    </row>
    <row r="13" customFormat="false" ht="15" hidden="false" customHeight="false" outlineLevel="0" collapsed="false">
      <c r="A13" s="7" t="s">
        <v>210</v>
      </c>
      <c r="B13" s="7" t="s">
        <v>211</v>
      </c>
      <c r="C13" s="7" t="s">
        <v>154</v>
      </c>
      <c r="D13" s="7" t="s">
        <v>212</v>
      </c>
      <c r="E13" s="17" t="n">
        <v>18900</v>
      </c>
      <c r="F13" s="18" t="n">
        <v>0.897</v>
      </c>
      <c r="G13" s="10" t="s">
        <v>192</v>
      </c>
    </row>
    <row r="14" customFormat="false" ht="15" hidden="false" customHeight="false" outlineLevel="0" collapsed="false">
      <c r="A14" s="7" t="s">
        <v>213</v>
      </c>
      <c r="B14" s="7" t="s">
        <v>214</v>
      </c>
      <c r="C14" s="7" t="s">
        <v>154</v>
      </c>
      <c r="D14" s="7" t="s">
        <v>150</v>
      </c>
      <c r="E14" s="17" t="n">
        <v>7600</v>
      </c>
      <c r="F14" s="18" t="n">
        <v>0.94</v>
      </c>
      <c r="G14" s="10" t="s">
        <v>192</v>
      </c>
    </row>
    <row r="15" customFormat="false" ht="15" hidden="false" customHeight="false" outlineLevel="0" collapsed="false">
      <c r="A15" s="7" t="s">
        <v>215</v>
      </c>
      <c r="B15" s="7" t="s">
        <v>216</v>
      </c>
      <c r="C15" s="7" t="s">
        <v>158</v>
      </c>
      <c r="D15" s="7" t="s">
        <v>155</v>
      </c>
      <c r="E15" s="17" t="n">
        <v>6300</v>
      </c>
      <c r="F15" s="18" t="n">
        <v>0.879</v>
      </c>
      <c r="G15" s="10" t="s">
        <v>217</v>
      </c>
    </row>
    <row r="16" customFormat="false" ht="15" hidden="false" customHeight="false" outlineLevel="0" collapsed="false">
      <c r="A16" s="7" t="s">
        <v>218</v>
      </c>
      <c r="B16" s="7" t="s">
        <v>219</v>
      </c>
      <c r="C16" s="7" t="s">
        <v>108</v>
      </c>
      <c r="D16" s="7" t="s">
        <v>111</v>
      </c>
      <c r="E16" s="17" t="n">
        <v>245000</v>
      </c>
      <c r="F16" s="18" t="n">
        <v>0.956</v>
      </c>
      <c r="G16" s="10" t="s">
        <v>192</v>
      </c>
    </row>
    <row r="17" customFormat="false" ht="15" hidden="false" customHeight="false" outlineLevel="0" collapsed="false">
      <c r="A17" s="7" t="s">
        <v>220</v>
      </c>
      <c r="B17" s="7" t="s">
        <v>221</v>
      </c>
      <c r="C17" s="7" t="s">
        <v>108</v>
      </c>
      <c r="D17" s="7" t="s">
        <v>115</v>
      </c>
      <c r="E17" s="17" t="n">
        <v>132000</v>
      </c>
      <c r="F17" s="18" t="n">
        <v>0.843</v>
      </c>
      <c r="G17" s="10" t="s">
        <v>222</v>
      </c>
    </row>
    <row r="18" customFormat="false" ht="15" hidden="false" customHeight="false" outlineLevel="0" collapsed="false">
      <c r="A18" s="7" t="s">
        <v>223</v>
      </c>
      <c r="B18" s="7" t="s">
        <v>224</v>
      </c>
      <c r="C18" s="7" t="s">
        <v>108</v>
      </c>
      <c r="D18" s="7" t="s">
        <v>115</v>
      </c>
      <c r="E18" s="17" t="n">
        <v>64000</v>
      </c>
      <c r="F18" s="18" t="n">
        <v>0.861</v>
      </c>
      <c r="G18" s="10" t="s">
        <v>225</v>
      </c>
    </row>
    <row r="19" customFormat="false" ht="15" hidden="false" customHeight="false" outlineLevel="0" collapsed="false">
      <c r="A19" s="7" t="s">
        <v>226</v>
      </c>
      <c r="B19" s="7" t="s">
        <v>227</v>
      </c>
      <c r="C19" s="7" t="s">
        <v>108</v>
      </c>
      <c r="D19" s="7" t="s">
        <v>105</v>
      </c>
      <c r="E19" s="17" t="n">
        <v>8900</v>
      </c>
      <c r="F19" s="18" t="n">
        <v>0.824</v>
      </c>
      <c r="G19" s="10" t="s">
        <v>228</v>
      </c>
    </row>
    <row r="20" customFormat="false" ht="15" hidden="false" customHeight="false" outlineLevel="0" collapsed="false">
      <c r="A20" s="7" t="s">
        <v>229</v>
      </c>
      <c r="B20" s="7" t="s">
        <v>230</v>
      </c>
      <c r="C20" s="7" t="s">
        <v>122</v>
      </c>
      <c r="D20" s="7" t="s">
        <v>119</v>
      </c>
      <c r="E20" s="17" t="n">
        <v>54000</v>
      </c>
      <c r="F20" s="18" t="n">
        <v>0.968</v>
      </c>
      <c r="G20" s="10" t="s">
        <v>192</v>
      </c>
    </row>
    <row r="21" customFormat="false" ht="15" hidden="false" customHeight="false" outlineLevel="0" collapsed="false">
      <c r="A21" s="7" t="s">
        <v>231</v>
      </c>
      <c r="B21" s="7" t="s">
        <v>232</v>
      </c>
      <c r="C21" s="7" t="s">
        <v>122</v>
      </c>
      <c r="D21" s="7" t="s">
        <v>123</v>
      </c>
      <c r="E21" s="17" t="n">
        <v>29500</v>
      </c>
      <c r="F21" s="18" t="n">
        <v>0.935</v>
      </c>
      <c r="G21" s="10" t="s">
        <v>192</v>
      </c>
    </row>
    <row r="22" customFormat="false" ht="15" hidden="false" customHeight="false" outlineLevel="0" collapsed="false">
      <c r="A22" s="7" t="s">
        <v>233</v>
      </c>
      <c r="B22" s="7" t="s">
        <v>234</v>
      </c>
      <c r="C22" s="7" t="s">
        <v>122</v>
      </c>
      <c r="D22" s="7" t="s">
        <v>125</v>
      </c>
      <c r="E22" s="17" t="n">
        <v>47200</v>
      </c>
      <c r="F22" s="18" t="n">
        <v>0.902</v>
      </c>
      <c r="G22" s="10" t="s">
        <v>235</v>
      </c>
    </row>
    <row r="23" customFormat="false" ht="15" hidden="false" customHeight="false" outlineLevel="0" collapsed="false">
      <c r="A23" s="7" t="s">
        <v>236</v>
      </c>
      <c r="B23" s="7" t="s">
        <v>237</v>
      </c>
      <c r="C23" s="7" t="s">
        <v>66</v>
      </c>
      <c r="D23" s="7" t="s">
        <v>238</v>
      </c>
      <c r="E23" s="17" t="n">
        <v>98000</v>
      </c>
      <c r="F23" s="18" t="n">
        <v>0.917</v>
      </c>
      <c r="G23" s="10" t="s">
        <v>239</v>
      </c>
    </row>
    <row r="24" customFormat="false" ht="15" hidden="false" customHeight="false" outlineLevel="0" collapsed="false">
      <c r="A24" s="7" t="s">
        <v>240</v>
      </c>
      <c r="B24" s="7" t="s">
        <v>241</v>
      </c>
      <c r="C24" s="7" t="s">
        <v>66</v>
      </c>
      <c r="D24" s="7" t="s">
        <v>62</v>
      </c>
      <c r="E24" s="17" t="n">
        <v>7400</v>
      </c>
      <c r="F24" s="18" t="n">
        <v>0.85</v>
      </c>
      <c r="G24" s="10" t="s">
        <v>242</v>
      </c>
    </row>
    <row r="25" customFormat="false" ht="15" hidden="false" customHeight="false" outlineLevel="0" collapsed="false">
      <c r="A25" s="7" t="s">
        <v>243</v>
      </c>
      <c r="B25" s="7" t="s">
        <v>244</v>
      </c>
      <c r="C25" s="7" t="s">
        <v>163</v>
      </c>
      <c r="D25" s="7" t="s">
        <v>160</v>
      </c>
      <c r="E25" s="17" t="n">
        <v>36800</v>
      </c>
      <c r="F25" s="18" t="n">
        <v>0.939</v>
      </c>
      <c r="G25" s="10" t="s">
        <v>192</v>
      </c>
    </row>
    <row r="26" customFormat="false" ht="15" hidden="false" customHeight="false" outlineLevel="0" collapsed="false">
      <c r="A26" s="7" t="s">
        <v>245</v>
      </c>
      <c r="B26" s="7" t="s">
        <v>246</v>
      </c>
      <c r="C26" s="7" t="s">
        <v>167</v>
      </c>
      <c r="D26" s="7" t="s">
        <v>164</v>
      </c>
      <c r="E26" s="17" t="n">
        <v>21500</v>
      </c>
      <c r="F26" s="18" t="n">
        <v>0.944</v>
      </c>
      <c r="G26" s="10" t="s">
        <v>192</v>
      </c>
    </row>
    <row r="27" customFormat="false" ht="15" hidden="false" customHeight="false" outlineLevel="0" collapsed="false">
      <c r="A27" s="7" t="s">
        <v>247</v>
      </c>
      <c r="B27" s="7" t="s">
        <v>248</v>
      </c>
      <c r="C27" s="7" t="s">
        <v>72</v>
      </c>
      <c r="D27" s="7" t="s">
        <v>249</v>
      </c>
      <c r="E27" s="17" t="n">
        <v>5200</v>
      </c>
      <c r="F27" s="18" t="n">
        <v>0.88</v>
      </c>
      <c r="G27" s="10" t="s">
        <v>250</v>
      </c>
    </row>
    <row r="28" customFormat="false" ht="15" hidden="false" customHeight="false" outlineLevel="0" collapsed="false">
      <c r="A28" s="7" t="s">
        <v>251</v>
      </c>
      <c r="B28" s="7" t="s">
        <v>252</v>
      </c>
      <c r="C28" s="7" t="s">
        <v>72</v>
      </c>
      <c r="D28" s="7" t="s">
        <v>253</v>
      </c>
      <c r="E28" s="17" t="n">
        <v>14600</v>
      </c>
      <c r="F28" s="18" t="n">
        <v>0.953</v>
      </c>
      <c r="G28" s="10" t="s">
        <v>192</v>
      </c>
    </row>
    <row r="29" customFormat="false" ht="15" hidden="false" customHeight="false" outlineLevel="0" collapsed="false">
      <c r="D29" s="19" t="s">
        <v>254</v>
      </c>
      <c r="E29" s="20" t="n">
        <f aca="false">SUM(E4:E28)</f>
        <v>1655300</v>
      </c>
    </row>
    <row r="30" customFormat="false" ht="15" hidden="false" customHeight="false" outlineLevel="0" collapsed="false">
      <c r="D30" s="19" t="s">
        <v>255</v>
      </c>
      <c r="F30" s="21" t="n">
        <f aca="false">AVERAGE(F4:F28)</f>
        <v>0.91512</v>
      </c>
    </row>
  </sheetData>
  <autoFilter ref="A3:G2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3" min="3" style="0" width="70"/>
    <col collapsed="false" customWidth="true" hidden="false" outlineLevel="0" max="4" min="4" style="0" width="36"/>
    <col collapsed="false" customWidth="true" hidden="false" outlineLevel="0" max="5" min="5" style="0" width="16"/>
    <col collapsed="false" customWidth="true" hidden="false" outlineLevel="0" max="6" min="6" style="0" width="30"/>
    <col collapsed="false" customWidth="true" hidden="false" outlineLevel="0" max="7" min="7" style="0" width="16"/>
    <col collapsed="false" customWidth="true" hidden="false" outlineLevel="0" max="8" min="8" style="0" width="12"/>
    <col collapsed="false" customWidth="true" hidden="false" outlineLevel="0" max="9" min="9" style="0" width="8"/>
    <col collapsed="false" customWidth="true" hidden="false" outlineLevel="0" max="10" min="10" style="0" width="14"/>
    <col collapsed="false" customWidth="true" hidden="false" outlineLevel="0" max="11" min="11" style="0" width="18"/>
  </cols>
  <sheetData>
    <row r="1" customFormat="false" ht="15" hidden="false" customHeight="false" outlineLevel="0" collapsed="false">
      <c r="A1" s="5" t="s">
        <v>256</v>
      </c>
    </row>
    <row r="3" customFormat="false" ht="30" hidden="false" customHeight="true" outlineLevel="0" collapsed="false">
      <c r="A3" s="6" t="s">
        <v>173</v>
      </c>
      <c r="B3" s="6" t="s">
        <v>19</v>
      </c>
      <c r="C3" s="6" t="s">
        <v>257</v>
      </c>
      <c r="D3" s="6" t="s">
        <v>258</v>
      </c>
      <c r="E3" s="6" t="s">
        <v>259</v>
      </c>
      <c r="F3" s="6" t="s">
        <v>260</v>
      </c>
      <c r="G3" s="6" t="s">
        <v>261</v>
      </c>
      <c r="H3" s="6" t="s">
        <v>37</v>
      </c>
      <c r="I3" s="6" t="s">
        <v>262</v>
      </c>
      <c r="J3" s="6" t="s">
        <v>263</v>
      </c>
      <c r="K3" s="6" t="s">
        <v>264</v>
      </c>
    </row>
    <row r="4" customFormat="false" ht="15" hidden="false" customHeight="false" outlineLevel="0" collapsed="false">
      <c r="A4" s="7" t="s">
        <v>265</v>
      </c>
      <c r="B4" s="7" t="s">
        <v>266</v>
      </c>
      <c r="C4" s="7" t="s">
        <v>267</v>
      </c>
      <c r="D4" s="7" t="s">
        <v>268</v>
      </c>
      <c r="E4" s="7" t="s">
        <v>269</v>
      </c>
      <c r="F4" s="7" t="s">
        <v>270</v>
      </c>
      <c r="G4" s="7" t="s">
        <v>271</v>
      </c>
      <c r="H4" s="7" t="s">
        <v>272</v>
      </c>
      <c r="I4" s="7" t="s">
        <v>273</v>
      </c>
      <c r="J4" s="7" t="s">
        <v>274</v>
      </c>
      <c r="K4" s="7" t="s">
        <v>192</v>
      </c>
    </row>
    <row r="5" customFormat="false" ht="15" hidden="false" customHeight="false" outlineLevel="0" collapsed="false">
      <c r="A5" s="7" t="s">
        <v>275</v>
      </c>
      <c r="B5" s="7" t="s">
        <v>276</v>
      </c>
      <c r="C5" s="7" t="s">
        <v>277</v>
      </c>
      <c r="D5" s="7" t="s">
        <v>268</v>
      </c>
      <c r="E5" s="7" t="s">
        <v>278</v>
      </c>
      <c r="F5" s="7" t="s">
        <v>270</v>
      </c>
      <c r="G5" s="7" t="s">
        <v>271</v>
      </c>
      <c r="H5" s="7" t="s">
        <v>272</v>
      </c>
      <c r="I5" s="7" t="s">
        <v>273</v>
      </c>
      <c r="J5" s="7" t="s">
        <v>279</v>
      </c>
      <c r="K5" s="7" t="s">
        <v>280</v>
      </c>
    </row>
    <row r="6" customFormat="false" ht="15" hidden="false" customHeight="false" outlineLevel="0" collapsed="false">
      <c r="A6" s="7" t="s">
        <v>281</v>
      </c>
      <c r="B6" s="7" t="s">
        <v>282</v>
      </c>
      <c r="C6" s="7" t="s">
        <v>283</v>
      </c>
      <c r="D6" s="7" t="s">
        <v>268</v>
      </c>
      <c r="E6" s="7" t="s">
        <v>284</v>
      </c>
      <c r="F6" s="7" t="s">
        <v>270</v>
      </c>
      <c r="G6" s="7" t="s">
        <v>271</v>
      </c>
      <c r="H6" s="7" t="s">
        <v>285</v>
      </c>
      <c r="I6" s="7" t="s">
        <v>286</v>
      </c>
      <c r="J6" s="7" t="s">
        <v>287</v>
      </c>
      <c r="K6" s="7" t="s">
        <v>192</v>
      </c>
    </row>
    <row r="7" customFormat="false" ht="15" hidden="false" customHeight="false" outlineLevel="0" collapsed="false">
      <c r="A7" s="7" t="s">
        <v>288</v>
      </c>
      <c r="B7" s="7" t="s">
        <v>282</v>
      </c>
      <c r="C7" s="7" t="s">
        <v>289</v>
      </c>
      <c r="D7" s="7" t="s">
        <v>268</v>
      </c>
      <c r="E7" s="7" t="s">
        <v>290</v>
      </c>
      <c r="F7" s="7" t="s">
        <v>270</v>
      </c>
      <c r="G7" s="7" t="s">
        <v>271</v>
      </c>
      <c r="H7" s="7" t="s">
        <v>272</v>
      </c>
      <c r="I7" s="7" t="s">
        <v>273</v>
      </c>
      <c r="J7" s="7" t="s">
        <v>291</v>
      </c>
      <c r="K7" s="7" t="s">
        <v>280</v>
      </c>
    </row>
    <row r="8" customFormat="false" ht="15" hidden="false" customHeight="false" outlineLevel="0" collapsed="false">
      <c r="A8" s="7" t="s">
        <v>292</v>
      </c>
      <c r="B8" s="7" t="s">
        <v>282</v>
      </c>
      <c r="C8" s="7" t="s">
        <v>293</v>
      </c>
      <c r="D8" s="7" t="s">
        <v>268</v>
      </c>
      <c r="E8" s="7" t="s">
        <v>294</v>
      </c>
      <c r="F8" s="7" t="s">
        <v>270</v>
      </c>
      <c r="G8" s="7" t="s">
        <v>271</v>
      </c>
      <c r="H8" s="7" t="s">
        <v>272</v>
      </c>
      <c r="I8" s="7" t="s">
        <v>273</v>
      </c>
      <c r="J8" s="7" t="s">
        <v>295</v>
      </c>
      <c r="K8" s="7" t="s">
        <v>192</v>
      </c>
    </row>
    <row r="9" customFormat="false" ht="15" hidden="false" customHeight="false" outlineLevel="0" collapsed="false">
      <c r="A9" s="7" t="s">
        <v>296</v>
      </c>
      <c r="B9" s="7" t="s">
        <v>297</v>
      </c>
      <c r="C9" s="7" t="s">
        <v>298</v>
      </c>
      <c r="D9" s="7" t="s">
        <v>299</v>
      </c>
      <c r="E9" s="7" t="s">
        <v>294</v>
      </c>
      <c r="F9" s="7" t="s">
        <v>192</v>
      </c>
      <c r="G9" s="7" t="s">
        <v>271</v>
      </c>
      <c r="H9" s="7" t="s">
        <v>300</v>
      </c>
      <c r="I9" s="7" t="s">
        <v>273</v>
      </c>
      <c r="J9" s="7" t="s">
        <v>301</v>
      </c>
      <c r="K9" s="7" t="s">
        <v>192</v>
      </c>
    </row>
    <row r="10" customFormat="false" ht="15" hidden="false" customHeight="false" outlineLevel="0" collapsed="false">
      <c r="A10" s="7" t="s">
        <v>302</v>
      </c>
      <c r="B10" s="7" t="s">
        <v>297</v>
      </c>
      <c r="C10" s="7" t="s">
        <v>303</v>
      </c>
      <c r="D10" s="7" t="s">
        <v>299</v>
      </c>
      <c r="E10" s="7" t="s">
        <v>304</v>
      </c>
      <c r="F10" s="7" t="s">
        <v>192</v>
      </c>
      <c r="G10" s="7" t="s">
        <v>271</v>
      </c>
      <c r="H10" s="7" t="s">
        <v>300</v>
      </c>
      <c r="I10" s="7" t="s">
        <v>273</v>
      </c>
      <c r="J10" s="7" t="s">
        <v>305</v>
      </c>
      <c r="K10" s="7" t="s">
        <v>192</v>
      </c>
    </row>
    <row r="11" customFormat="false" ht="15" hidden="false" customHeight="false" outlineLevel="0" collapsed="false">
      <c r="A11" s="7" t="s">
        <v>306</v>
      </c>
      <c r="B11" s="7" t="s">
        <v>307</v>
      </c>
      <c r="C11" s="7" t="s">
        <v>308</v>
      </c>
      <c r="D11" s="7" t="s">
        <v>72</v>
      </c>
      <c r="E11" s="7" t="s">
        <v>309</v>
      </c>
      <c r="F11" s="7" t="s">
        <v>192</v>
      </c>
      <c r="G11" s="7" t="s">
        <v>271</v>
      </c>
      <c r="H11" s="7" t="s">
        <v>300</v>
      </c>
      <c r="I11" s="7" t="s">
        <v>273</v>
      </c>
      <c r="J11" s="7" t="s">
        <v>310</v>
      </c>
      <c r="K11" s="7" t="s">
        <v>192</v>
      </c>
    </row>
    <row r="12" customFormat="false" ht="15" hidden="false" customHeight="false" outlineLevel="0" collapsed="false">
      <c r="A12" s="7" t="s">
        <v>311</v>
      </c>
      <c r="B12" s="7" t="s">
        <v>307</v>
      </c>
      <c r="C12" s="7" t="s">
        <v>312</v>
      </c>
      <c r="D12" s="7" t="s">
        <v>72</v>
      </c>
      <c r="E12" s="7" t="s">
        <v>313</v>
      </c>
      <c r="F12" s="7" t="s">
        <v>192</v>
      </c>
      <c r="G12" s="7" t="s">
        <v>271</v>
      </c>
      <c r="H12" s="7" t="s">
        <v>300</v>
      </c>
      <c r="I12" s="7" t="s">
        <v>273</v>
      </c>
      <c r="J12" s="7" t="s">
        <v>314</v>
      </c>
      <c r="K12" s="7" t="s">
        <v>192</v>
      </c>
    </row>
    <row r="13" customFormat="false" ht="15" hidden="false" customHeight="false" outlineLevel="0" collapsed="false">
      <c r="A13" s="7" t="s">
        <v>315</v>
      </c>
      <c r="B13" s="7" t="s">
        <v>307</v>
      </c>
      <c r="C13" s="7" t="s">
        <v>316</v>
      </c>
      <c r="D13" s="7" t="s">
        <v>72</v>
      </c>
      <c r="E13" s="7" t="s">
        <v>294</v>
      </c>
      <c r="F13" s="7" t="s">
        <v>192</v>
      </c>
      <c r="G13" s="7" t="s">
        <v>271</v>
      </c>
      <c r="H13" s="7" t="s">
        <v>300</v>
      </c>
      <c r="I13" s="7" t="s">
        <v>273</v>
      </c>
      <c r="J13" s="7" t="s">
        <v>317</v>
      </c>
      <c r="K13" s="7" t="s">
        <v>192</v>
      </c>
    </row>
    <row r="14" customFormat="false" ht="15" hidden="false" customHeight="false" outlineLevel="0" collapsed="false">
      <c r="A14" s="7" t="s">
        <v>318</v>
      </c>
      <c r="B14" s="7" t="s">
        <v>319</v>
      </c>
      <c r="C14" s="7" t="s">
        <v>320</v>
      </c>
      <c r="D14" s="7" t="s">
        <v>79</v>
      </c>
      <c r="E14" s="7" t="s">
        <v>278</v>
      </c>
      <c r="F14" s="7" t="s">
        <v>270</v>
      </c>
      <c r="G14" s="7" t="s">
        <v>271</v>
      </c>
      <c r="H14" s="7" t="s">
        <v>272</v>
      </c>
      <c r="I14" s="7" t="s">
        <v>273</v>
      </c>
      <c r="J14" s="7" t="s">
        <v>321</v>
      </c>
      <c r="K14" s="7" t="s">
        <v>322</v>
      </c>
    </row>
    <row r="15" customFormat="false" ht="15" hidden="false" customHeight="false" outlineLevel="0" collapsed="false">
      <c r="A15" s="7" t="s">
        <v>323</v>
      </c>
      <c r="B15" s="7" t="s">
        <v>319</v>
      </c>
      <c r="C15" s="7" t="s">
        <v>324</v>
      </c>
      <c r="D15" s="7" t="s">
        <v>85</v>
      </c>
      <c r="E15" s="7" t="s">
        <v>278</v>
      </c>
      <c r="F15" s="7" t="s">
        <v>270</v>
      </c>
      <c r="G15" s="7" t="s">
        <v>271</v>
      </c>
      <c r="H15" s="7" t="s">
        <v>272</v>
      </c>
      <c r="I15" s="7" t="s">
        <v>273</v>
      </c>
      <c r="J15" s="7" t="s">
        <v>325</v>
      </c>
      <c r="K15" s="7" t="s">
        <v>322</v>
      </c>
    </row>
    <row r="16" customFormat="false" ht="15" hidden="false" customHeight="false" outlineLevel="0" collapsed="false">
      <c r="A16" s="7" t="s">
        <v>326</v>
      </c>
      <c r="B16" s="7" t="s">
        <v>319</v>
      </c>
      <c r="C16" s="7" t="s">
        <v>327</v>
      </c>
      <c r="D16" s="7" t="s">
        <v>92</v>
      </c>
      <c r="E16" s="7" t="s">
        <v>278</v>
      </c>
      <c r="F16" s="7" t="s">
        <v>270</v>
      </c>
      <c r="G16" s="7" t="s">
        <v>271</v>
      </c>
      <c r="H16" s="7" t="s">
        <v>272</v>
      </c>
      <c r="I16" s="7" t="s">
        <v>273</v>
      </c>
      <c r="J16" s="7" t="s">
        <v>328</v>
      </c>
      <c r="K16" s="7" t="s">
        <v>322</v>
      </c>
    </row>
    <row r="17" customFormat="false" ht="15" hidden="false" customHeight="false" outlineLevel="0" collapsed="false">
      <c r="A17" s="7" t="s">
        <v>329</v>
      </c>
      <c r="B17" s="7" t="s">
        <v>319</v>
      </c>
      <c r="C17" s="7" t="s">
        <v>330</v>
      </c>
      <c r="D17" s="7" t="s">
        <v>99</v>
      </c>
      <c r="E17" s="7" t="s">
        <v>278</v>
      </c>
      <c r="F17" s="7" t="s">
        <v>270</v>
      </c>
      <c r="G17" s="7" t="s">
        <v>271</v>
      </c>
      <c r="H17" s="7" t="s">
        <v>272</v>
      </c>
      <c r="I17" s="7" t="s">
        <v>273</v>
      </c>
      <c r="J17" s="7" t="s">
        <v>331</v>
      </c>
      <c r="K17" s="7" t="s">
        <v>322</v>
      </c>
    </row>
    <row r="18" customFormat="false" ht="15" hidden="false" customHeight="false" outlineLevel="0" collapsed="false">
      <c r="A18" s="7" t="s">
        <v>332</v>
      </c>
      <c r="B18" s="7" t="s">
        <v>319</v>
      </c>
      <c r="C18" s="7" t="s">
        <v>333</v>
      </c>
      <c r="D18" s="7" t="s">
        <v>149</v>
      </c>
      <c r="E18" s="7" t="s">
        <v>278</v>
      </c>
      <c r="F18" s="7" t="s">
        <v>270</v>
      </c>
      <c r="G18" s="7" t="s">
        <v>271</v>
      </c>
      <c r="H18" s="7" t="s">
        <v>272</v>
      </c>
      <c r="I18" s="7" t="s">
        <v>273</v>
      </c>
      <c r="J18" s="7" t="s">
        <v>334</v>
      </c>
      <c r="K18" s="7" t="s">
        <v>322</v>
      </c>
    </row>
    <row r="19" customFormat="false" ht="15" hidden="false" customHeight="false" outlineLevel="0" collapsed="false">
      <c r="A19" s="7" t="s">
        <v>335</v>
      </c>
      <c r="B19" s="7" t="s">
        <v>319</v>
      </c>
      <c r="C19" s="7" t="s">
        <v>336</v>
      </c>
      <c r="D19" s="7" t="s">
        <v>154</v>
      </c>
      <c r="E19" s="7" t="s">
        <v>278</v>
      </c>
      <c r="F19" s="7" t="s">
        <v>270</v>
      </c>
      <c r="G19" s="7" t="s">
        <v>271</v>
      </c>
      <c r="H19" s="7" t="s">
        <v>272</v>
      </c>
      <c r="I19" s="7" t="s">
        <v>273</v>
      </c>
      <c r="J19" s="7" t="s">
        <v>337</v>
      </c>
      <c r="K19" s="7" t="s">
        <v>322</v>
      </c>
    </row>
    <row r="20" customFormat="false" ht="15" hidden="false" customHeight="false" outlineLevel="0" collapsed="false">
      <c r="A20" s="7" t="s">
        <v>338</v>
      </c>
      <c r="B20" s="7" t="s">
        <v>319</v>
      </c>
      <c r="C20" s="7" t="s">
        <v>339</v>
      </c>
      <c r="D20" s="7" t="s">
        <v>158</v>
      </c>
      <c r="E20" s="7" t="s">
        <v>278</v>
      </c>
      <c r="F20" s="7" t="s">
        <v>270</v>
      </c>
      <c r="G20" s="7" t="s">
        <v>271</v>
      </c>
      <c r="H20" s="7" t="s">
        <v>272</v>
      </c>
      <c r="I20" s="7" t="s">
        <v>273</v>
      </c>
      <c r="J20" s="7" t="s">
        <v>340</v>
      </c>
      <c r="K20" s="7" t="s">
        <v>322</v>
      </c>
    </row>
    <row r="21" customFormat="false" ht="15" hidden="false" customHeight="false" outlineLevel="0" collapsed="false">
      <c r="A21" s="7" t="s">
        <v>341</v>
      </c>
      <c r="B21" s="7" t="s">
        <v>319</v>
      </c>
      <c r="C21" s="7" t="s">
        <v>342</v>
      </c>
      <c r="D21" s="7" t="s">
        <v>108</v>
      </c>
      <c r="E21" s="7" t="s">
        <v>278</v>
      </c>
      <c r="F21" s="7" t="s">
        <v>270</v>
      </c>
      <c r="G21" s="7" t="s">
        <v>271</v>
      </c>
      <c r="H21" s="7" t="s">
        <v>272</v>
      </c>
      <c r="I21" s="7" t="s">
        <v>273</v>
      </c>
      <c r="J21" s="7" t="s">
        <v>337</v>
      </c>
      <c r="K21" s="7" t="s">
        <v>322</v>
      </c>
    </row>
    <row r="22" customFormat="false" ht="15" hidden="false" customHeight="false" outlineLevel="0" collapsed="false">
      <c r="A22" s="7" t="s">
        <v>343</v>
      </c>
      <c r="B22" s="7" t="s">
        <v>319</v>
      </c>
      <c r="C22" s="7" t="s">
        <v>344</v>
      </c>
      <c r="D22" s="7" t="s">
        <v>122</v>
      </c>
      <c r="E22" s="7" t="s">
        <v>278</v>
      </c>
      <c r="F22" s="7" t="s">
        <v>270</v>
      </c>
      <c r="G22" s="7" t="s">
        <v>271</v>
      </c>
      <c r="H22" s="7" t="s">
        <v>272</v>
      </c>
      <c r="I22" s="7" t="s">
        <v>273</v>
      </c>
      <c r="J22" s="7" t="s">
        <v>345</v>
      </c>
      <c r="K22" s="7" t="s">
        <v>322</v>
      </c>
    </row>
    <row r="23" customFormat="false" ht="15" hidden="false" customHeight="false" outlineLevel="0" collapsed="false">
      <c r="A23" s="7" t="s">
        <v>346</v>
      </c>
      <c r="B23" s="7" t="s">
        <v>319</v>
      </c>
      <c r="C23" s="7" t="s">
        <v>347</v>
      </c>
      <c r="D23" s="7" t="s">
        <v>66</v>
      </c>
      <c r="E23" s="7" t="s">
        <v>278</v>
      </c>
      <c r="F23" s="7" t="s">
        <v>270</v>
      </c>
      <c r="G23" s="7" t="s">
        <v>271</v>
      </c>
      <c r="H23" s="7" t="s">
        <v>272</v>
      </c>
      <c r="I23" s="7" t="s">
        <v>273</v>
      </c>
      <c r="J23" s="7" t="s">
        <v>348</v>
      </c>
      <c r="K23" s="7" t="s">
        <v>322</v>
      </c>
    </row>
    <row r="24" customFormat="false" ht="15" hidden="false" customHeight="false" outlineLevel="0" collapsed="false">
      <c r="A24" s="7" t="s">
        <v>349</v>
      </c>
      <c r="B24" s="7" t="s">
        <v>319</v>
      </c>
      <c r="C24" s="7" t="s">
        <v>350</v>
      </c>
      <c r="D24" s="7" t="s">
        <v>163</v>
      </c>
      <c r="E24" s="7" t="s">
        <v>278</v>
      </c>
      <c r="F24" s="7" t="s">
        <v>270</v>
      </c>
      <c r="G24" s="7" t="s">
        <v>271</v>
      </c>
      <c r="H24" s="7" t="s">
        <v>272</v>
      </c>
      <c r="I24" s="7" t="s">
        <v>273</v>
      </c>
      <c r="J24" s="7" t="s">
        <v>351</v>
      </c>
      <c r="K24" s="7" t="s">
        <v>322</v>
      </c>
    </row>
    <row r="25" customFormat="false" ht="15" hidden="false" customHeight="false" outlineLevel="0" collapsed="false">
      <c r="A25" s="7" t="s">
        <v>352</v>
      </c>
      <c r="B25" s="7" t="s">
        <v>319</v>
      </c>
      <c r="C25" s="7" t="s">
        <v>353</v>
      </c>
      <c r="D25" s="7" t="s">
        <v>167</v>
      </c>
      <c r="E25" s="7" t="s">
        <v>278</v>
      </c>
      <c r="F25" s="7" t="s">
        <v>270</v>
      </c>
      <c r="G25" s="7" t="s">
        <v>271</v>
      </c>
      <c r="H25" s="7" t="s">
        <v>272</v>
      </c>
      <c r="I25" s="7" t="s">
        <v>273</v>
      </c>
      <c r="J25" s="7" t="s">
        <v>354</v>
      </c>
      <c r="K25" s="7" t="s">
        <v>322</v>
      </c>
    </row>
    <row r="26" customFormat="false" ht="15" hidden="false" customHeight="false" outlineLevel="0" collapsed="false">
      <c r="A26" s="7" t="s">
        <v>355</v>
      </c>
      <c r="B26" s="7" t="s">
        <v>356</v>
      </c>
      <c r="C26" s="7" t="s">
        <v>357</v>
      </c>
      <c r="D26" s="7" t="s">
        <v>79</v>
      </c>
      <c r="E26" s="7" t="s">
        <v>290</v>
      </c>
      <c r="F26" s="7" t="s">
        <v>270</v>
      </c>
      <c r="G26" s="7" t="s">
        <v>271</v>
      </c>
      <c r="H26" s="7" t="s">
        <v>300</v>
      </c>
      <c r="I26" s="7" t="s">
        <v>273</v>
      </c>
      <c r="J26" s="7" t="s">
        <v>358</v>
      </c>
      <c r="K26" s="7" t="s">
        <v>322</v>
      </c>
    </row>
    <row r="27" customFormat="false" ht="15" hidden="false" customHeight="false" outlineLevel="0" collapsed="false">
      <c r="A27" s="7" t="s">
        <v>359</v>
      </c>
      <c r="B27" s="7" t="s">
        <v>356</v>
      </c>
      <c r="C27" s="7" t="s">
        <v>360</v>
      </c>
      <c r="D27" s="7" t="s">
        <v>85</v>
      </c>
      <c r="E27" s="7" t="s">
        <v>290</v>
      </c>
      <c r="F27" s="7" t="s">
        <v>270</v>
      </c>
      <c r="G27" s="7" t="s">
        <v>271</v>
      </c>
      <c r="H27" s="7" t="s">
        <v>300</v>
      </c>
      <c r="I27" s="7" t="s">
        <v>273</v>
      </c>
      <c r="J27" s="7" t="s">
        <v>361</v>
      </c>
      <c r="K27" s="7" t="s">
        <v>322</v>
      </c>
    </row>
    <row r="28" customFormat="false" ht="15" hidden="false" customHeight="false" outlineLevel="0" collapsed="false">
      <c r="A28" s="7" t="s">
        <v>362</v>
      </c>
      <c r="B28" s="7" t="s">
        <v>356</v>
      </c>
      <c r="C28" s="7" t="s">
        <v>363</v>
      </c>
      <c r="D28" s="7" t="s">
        <v>92</v>
      </c>
      <c r="E28" s="7" t="s">
        <v>290</v>
      </c>
      <c r="F28" s="7" t="s">
        <v>270</v>
      </c>
      <c r="G28" s="7" t="s">
        <v>271</v>
      </c>
      <c r="H28" s="7" t="s">
        <v>300</v>
      </c>
      <c r="I28" s="7" t="s">
        <v>273</v>
      </c>
      <c r="J28" s="7" t="s">
        <v>364</v>
      </c>
      <c r="K28" s="7" t="s">
        <v>322</v>
      </c>
    </row>
    <row r="29" customFormat="false" ht="15" hidden="false" customHeight="false" outlineLevel="0" collapsed="false">
      <c r="A29" s="7" t="s">
        <v>365</v>
      </c>
      <c r="B29" s="7" t="s">
        <v>356</v>
      </c>
      <c r="C29" s="7" t="s">
        <v>366</v>
      </c>
      <c r="D29" s="7" t="s">
        <v>99</v>
      </c>
      <c r="E29" s="7" t="s">
        <v>290</v>
      </c>
      <c r="F29" s="7" t="s">
        <v>270</v>
      </c>
      <c r="G29" s="7" t="s">
        <v>271</v>
      </c>
      <c r="H29" s="7" t="s">
        <v>300</v>
      </c>
      <c r="I29" s="7" t="s">
        <v>273</v>
      </c>
      <c r="J29" s="7" t="s">
        <v>367</v>
      </c>
      <c r="K29" s="7" t="s">
        <v>322</v>
      </c>
    </row>
    <row r="30" customFormat="false" ht="15" hidden="false" customHeight="false" outlineLevel="0" collapsed="false">
      <c r="A30" s="7" t="s">
        <v>368</v>
      </c>
      <c r="B30" s="7" t="s">
        <v>356</v>
      </c>
      <c r="C30" s="7" t="s">
        <v>369</v>
      </c>
      <c r="D30" s="7" t="s">
        <v>149</v>
      </c>
      <c r="E30" s="7" t="s">
        <v>290</v>
      </c>
      <c r="F30" s="7" t="s">
        <v>270</v>
      </c>
      <c r="G30" s="7" t="s">
        <v>271</v>
      </c>
      <c r="H30" s="7" t="s">
        <v>300</v>
      </c>
      <c r="I30" s="7" t="s">
        <v>273</v>
      </c>
      <c r="J30" s="7" t="s">
        <v>370</v>
      </c>
      <c r="K30" s="7" t="s">
        <v>322</v>
      </c>
    </row>
    <row r="31" customFormat="false" ht="15" hidden="false" customHeight="false" outlineLevel="0" collapsed="false">
      <c r="A31" s="7" t="s">
        <v>371</v>
      </c>
      <c r="B31" s="7" t="s">
        <v>356</v>
      </c>
      <c r="C31" s="7" t="s">
        <v>372</v>
      </c>
      <c r="D31" s="7" t="s">
        <v>154</v>
      </c>
      <c r="E31" s="7" t="s">
        <v>290</v>
      </c>
      <c r="F31" s="7" t="s">
        <v>270</v>
      </c>
      <c r="G31" s="7" t="s">
        <v>271</v>
      </c>
      <c r="H31" s="7" t="s">
        <v>300</v>
      </c>
      <c r="I31" s="7" t="s">
        <v>273</v>
      </c>
      <c r="J31" s="7" t="s">
        <v>373</v>
      </c>
      <c r="K31" s="7" t="s">
        <v>322</v>
      </c>
    </row>
    <row r="32" customFormat="false" ht="15" hidden="false" customHeight="false" outlineLevel="0" collapsed="false">
      <c r="A32" s="7" t="s">
        <v>374</v>
      </c>
      <c r="B32" s="7" t="s">
        <v>356</v>
      </c>
      <c r="C32" s="7" t="s">
        <v>375</v>
      </c>
      <c r="D32" s="7" t="s">
        <v>158</v>
      </c>
      <c r="E32" s="7" t="s">
        <v>290</v>
      </c>
      <c r="F32" s="7" t="s">
        <v>270</v>
      </c>
      <c r="G32" s="7" t="s">
        <v>271</v>
      </c>
      <c r="H32" s="7" t="s">
        <v>300</v>
      </c>
      <c r="I32" s="7" t="s">
        <v>273</v>
      </c>
      <c r="J32" s="7" t="s">
        <v>376</v>
      </c>
      <c r="K32" s="7" t="s">
        <v>322</v>
      </c>
    </row>
    <row r="33" customFormat="false" ht="15" hidden="false" customHeight="false" outlineLevel="0" collapsed="false">
      <c r="A33" s="7" t="s">
        <v>377</v>
      </c>
      <c r="B33" s="7" t="s">
        <v>356</v>
      </c>
      <c r="C33" s="7" t="s">
        <v>378</v>
      </c>
      <c r="D33" s="7" t="s">
        <v>108</v>
      </c>
      <c r="E33" s="7" t="s">
        <v>290</v>
      </c>
      <c r="F33" s="7" t="s">
        <v>270</v>
      </c>
      <c r="G33" s="7" t="s">
        <v>271</v>
      </c>
      <c r="H33" s="7" t="s">
        <v>300</v>
      </c>
      <c r="I33" s="7" t="s">
        <v>273</v>
      </c>
      <c r="J33" s="7" t="s">
        <v>379</v>
      </c>
      <c r="K33" s="7" t="s">
        <v>322</v>
      </c>
    </row>
    <row r="34" customFormat="false" ht="15" hidden="false" customHeight="false" outlineLevel="0" collapsed="false">
      <c r="A34" s="7" t="s">
        <v>380</v>
      </c>
      <c r="B34" s="7" t="s">
        <v>356</v>
      </c>
      <c r="C34" s="7" t="s">
        <v>381</v>
      </c>
      <c r="D34" s="7" t="s">
        <v>122</v>
      </c>
      <c r="E34" s="7" t="s">
        <v>290</v>
      </c>
      <c r="F34" s="7" t="s">
        <v>270</v>
      </c>
      <c r="G34" s="7" t="s">
        <v>271</v>
      </c>
      <c r="H34" s="7" t="s">
        <v>300</v>
      </c>
      <c r="I34" s="7" t="s">
        <v>273</v>
      </c>
      <c r="J34" s="7" t="s">
        <v>358</v>
      </c>
      <c r="K34" s="7" t="s">
        <v>322</v>
      </c>
    </row>
    <row r="35" customFormat="false" ht="15" hidden="false" customHeight="false" outlineLevel="0" collapsed="false">
      <c r="A35" s="7" t="s">
        <v>382</v>
      </c>
      <c r="B35" s="7" t="s">
        <v>356</v>
      </c>
      <c r="C35" s="7" t="s">
        <v>383</v>
      </c>
      <c r="D35" s="7" t="s">
        <v>66</v>
      </c>
      <c r="E35" s="7" t="s">
        <v>290</v>
      </c>
      <c r="F35" s="7" t="s">
        <v>270</v>
      </c>
      <c r="G35" s="7" t="s">
        <v>271</v>
      </c>
      <c r="H35" s="7" t="s">
        <v>300</v>
      </c>
      <c r="I35" s="7" t="s">
        <v>273</v>
      </c>
      <c r="J35" s="7" t="s">
        <v>384</v>
      </c>
      <c r="K35" s="7" t="s">
        <v>322</v>
      </c>
    </row>
    <row r="36" customFormat="false" ht="15" hidden="false" customHeight="false" outlineLevel="0" collapsed="false">
      <c r="A36" s="7" t="s">
        <v>385</v>
      </c>
      <c r="B36" s="7" t="s">
        <v>356</v>
      </c>
      <c r="C36" s="7" t="s">
        <v>386</v>
      </c>
      <c r="D36" s="7" t="s">
        <v>163</v>
      </c>
      <c r="E36" s="7" t="s">
        <v>290</v>
      </c>
      <c r="F36" s="7" t="s">
        <v>270</v>
      </c>
      <c r="G36" s="7" t="s">
        <v>271</v>
      </c>
      <c r="H36" s="7" t="s">
        <v>300</v>
      </c>
      <c r="I36" s="7" t="s">
        <v>273</v>
      </c>
      <c r="J36" s="7" t="s">
        <v>367</v>
      </c>
      <c r="K36" s="7" t="s">
        <v>322</v>
      </c>
    </row>
    <row r="37" customFormat="false" ht="15" hidden="false" customHeight="false" outlineLevel="0" collapsed="false">
      <c r="A37" s="7" t="s">
        <v>387</v>
      </c>
      <c r="B37" s="7" t="s">
        <v>356</v>
      </c>
      <c r="C37" s="7" t="s">
        <v>388</v>
      </c>
      <c r="D37" s="7" t="s">
        <v>167</v>
      </c>
      <c r="E37" s="7" t="s">
        <v>290</v>
      </c>
      <c r="F37" s="7" t="s">
        <v>270</v>
      </c>
      <c r="G37" s="7" t="s">
        <v>271</v>
      </c>
      <c r="H37" s="7" t="s">
        <v>300</v>
      </c>
      <c r="I37" s="7" t="s">
        <v>273</v>
      </c>
      <c r="J37" s="7" t="s">
        <v>364</v>
      </c>
      <c r="K37" s="7" t="s">
        <v>322</v>
      </c>
    </row>
    <row r="38" customFormat="false" ht="15" hidden="false" customHeight="false" outlineLevel="0" collapsed="false">
      <c r="A38" s="7" t="s">
        <v>389</v>
      </c>
      <c r="B38" s="7" t="s">
        <v>390</v>
      </c>
      <c r="C38" s="7" t="s">
        <v>391</v>
      </c>
      <c r="D38" s="7" t="s">
        <v>79</v>
      </c>
      <c r="E38" s="7" t="s">
        <v>309</v>
      </c>
      <c r="F38" s="7" t="s">
        <v>192</v>
      </c>
      <c r="G38" s="7" t="s">
        <v>271</v>
      </c>
      <c r="H38" s="7" t="s">
        <v>300</v>
      </c>
      <c r="I38" s="7" t="s">
        <v>273</v>
      </c>
      <c r="J38" s="7" t="s">
        <v>392</v>
      </c>
      <c r="K38" s="7" t="s">
        <v>192</v>
      </c>
    </row>
    <row r="39" customFormat="false" ht="15" hidden="false" customHeight="false" outlineLevel="0" collapsed="false">
      <c r="A39" s="7" t="s">
        <v>393</v>
      </c>
      <c r="B39" s="7" t="s">
        <v>390</v>
      </c>
      <c r="C39" s="7" t="s">
        <v>394</v>
      </c>
      <c r="D39" s="7" t="s">
        <v>99</v>
      </c>
      <c r="E39" s="7" t="s">
        <v>309</v>
      </c>
      <c r="F39" s="7" t="s">
        <v>192</v>
      </c>
      <c r="G39" s="7" t="s">
        <v>271</v>
      </c>
      <c r="H39" s="7" t="s">
        <v>300</v>
      </c>
      <c r="I39" s="7" t="s">
        <v>273</v>
      </c>
      <c r="J39" s="7" t="s">
        <v>392</v>
      </c>
      <c r="K39" s="7" t="s">
        <v>192</v>
      </c>
    </row>
    <row r="40" customFormat="false" ht="15" hidden="false" customHeight="false" outlineLevel="0" collapsed="false">
      <c r="A40" s="7" t="s">
        <v>395</v>
      </c>
      <c r="B40" s="7" t="s">
        <v>390</v>
      </c>
      <c r="C40" s="7" t="s">
        <v>396</v>
      </c>
      <c r="D40" s="7" t="s">
        <v>92</v>
      </c>
      <c r="E40" s="7" t="s">
        <v>309</v>
      </c>
      <c r="F40" s="7" t="s">
        <v>192</v>
      </c>
      <c r="G40" s="7" t="s">
        <v>271</v>
      </c>
      <c r="H40" s="7" t="s">
        <v>300</v>
      </c>
      <c r="I40" s="7" t="s">
        <v>273</v>
      </c>
      <c r="J40" s="7" t="s">
        <v>392</v>
      </c>
      <c r="K40" s="7" t="s">
        <v>192</v>
      </c>
    </row>
    <row r="41" customFormat="false" ht="15" hidden="false" customHeight="false" outlineLevel="0" collapsed="false">
      <c r="A41" s="7" t="s">
        <v>397</v>
      </c>
      <c r="B41" s="7" t="s">
        <v>390</v>
      </c>
      <c r="C41" s="7" t="s">
        <v>398</v>
      </c>
      <c r="D41" s="7" t="s">
        <v>108</v>
      </c>
      <c r="E41" s="7" t="s">
        <v>309</v>
      </c>
      <c r="F41" s="7" t="s">
        <v>192</v>
      </c>
      <c r="G41" s="7" t="s">
        <v>271</v>
      </c>
      <c r="H41" s="7" t="s">
        <v>300</v>
      </c>
      <c r="I41" s="7" t="s">
        <v>273</v>
      </c>
      <c r="J41" s="7" t="s">
        <v>392</v>
      </c>
      <c r="K41" s="7" t="s">
        <v>192</v>
      </c>
    </row>
    <row r="42" customFormat="false" ht="15" hidden="false" customHeight="false" outlineLevel="0" collapsed="false">
      <c r="A42" s="7" t="s">
        <v>399</v>
      </c>
      <c r="B42" s="7" t="s">
        <v>390</v>
      </c>
      <c r="C42" s="7" t="s">
        <v>400</v>
      </c>
      <c r="D42" s="7" t="s">
        <v>122</v>
      </c>
      <c r="E42" s="7" t="s">
        <v>309</v>
      </c>
      <c r="F42" s="7" t="s">
        <v>192</v>
      </c>
      <c r="G42" s="7" t="s">
        <v>271</v>
      </c>
      <c r="H42" s="7" t="s">
        <v>300</v>
      </c>
      <c r="I42" s="7" t="s">
        <v>273</v>
      </c>
      <c r="J42" s="7" t="s">
        <v>392</v>
      </c>
      <c r="K42" s="7" t="s">
        <v>192</v>
      </c>
    </row>
    <row r="43" customFormat="false" ht="15" hidden="false" customHeight="false" outlineLevel="0" collapsed="false">
      <c r="A43" s="7" t="s">
        <v>401</v>
      </c>
      <c r="B43" s="7" t="s">
        <v>390</v>
      </c>
      <c r="C43" s="7" t="s">
        <v>402</v>
      </c>
      <c r="D43" s="7" t="s">
        <v>66</v>
      </c>
      <c r="E43" s="7" t="s">
        <v>309</v>
      </c>
      <c r="F43" s="7" t="s">
        <v>192</v>
      </c>
      <c r="G43" s="7" t="s">
        <v>271</v>
      </c>
      <c r="H43" s="7" t="s">
        <v>300</v>
      </c>
      <c r="I43" s="7" t="s">
        <v>273</v>
      </c>
      <c r="J43" s="7" t="s">
        <v>392</v>
      </c>
      <c r="K43" s="7" t="s">
        <v>192</v>
      </c>
    </row>
    <row r="44" customFormat="false" ht="15" hidden="false" customHeight="false" outlineLevel="0" collapsed="false">
      <c r="A44" s="7" t="s">
        <v>403</v>
      </c>
      <c r="B44" s="7" t="s">
        <v>404</v>
      </c>
      <c r="C44" s="7" t="s">
        <v>405</v>
      </c>
      <c r="D44" s="7" t="s">
        <v>406</v>
      </c>
      <c r="E44" s="7" t="s">
        <v>407</v>
      </c>
      <c r="F44" s="7" t="s">
        <v>408</v>
      </c>
      <c r="G44" s="7" t="s">
        <v>271</v>
      </c>
      <c r="H44" s="7" t="s">
        <v>409</v>
      </c>
      <c r="I44" s="7" t="s">
        <v>192</v>
      </c>
      <c r="J44" s="7" t="s">
        <v>410</v>
      </c>
      <c r="K44" s="7" t="s">
        <v>192</v>
      </c>
    </row>
    <row r="45" customFormat="false" ht="15" hidden="false" customHeight="false" outlineLevel="0" collapsed="false">
      <c r="A45" s="7" t="s">
        <v>411</v>
      </c>
      <c r="B45" s="7" t="s">
        <v>404</v>
      </c>
      <c r="C45" s="7" t="s">
        <v>412</v>
      </c>
      <c r="D45" s="7" t="s">
        <v>406</v>
      </c>
      <c r="E45" s="7" t="s">
        <v>413</v>
      </c>
      <c r="F45" s="7" t="s">
        <v>414</v>
      </c>
      <c r="G45" s="7" t="s">
        <v>271</v>
      </c>
      <c r="H45" s="7" t="s">
        <v>409</v>
      </c>
      <c r="I45" s="7" t="s">
        <v>192</v>
      </c>
      <c r="J45" s="7" t="s">
        <v>410</v>
      </c>
      <c r="K45" s="7" t="s">
        <v>192</v>
      </c>
    </row>
    <row r="46" customFormat="false" ht="15" hidden="false" customHeight="false" outlineLevel="0" collapsed="false">
      <c r="A46" s="7" t="s">
        <v>415</v>
      </c>
      <c r="B46" s="7" t="s">
        <v>404</v>
      </c>
      <c r="C46" s="7" t="s">
        <v>416</v>
      </c>
      <c r="D46" s="7" t="s">
        <v>406</v>
      </c>
      <c r="E46" s="7" t="s">
        <v>417</v>
      </c>
      <c r="F46" s="7" t="s">
        <v>418</v>
      </c>
      <c r="G46" s="7" t="s">
        <v>271</v>
      </c>
      <c r="H46" s="7" t="s">
        <v>409</v>
      </c>
      <c r="I46" s="7" t="s">
        <v>192</v>
      </c>
      <c r="J46" s="7" t="s">
        <v>410</v>
      </c>
      <c r="K46" s="7" t="s">
        <v>192</v>
      </c>
    </row>
    <row r="47" customFormat="false" ht="15" hidden="false" customHeight="false" outlineLevel="0" collapsed="false">
      <c r="A47" s="7" t="s">
        <v>419</v>
      </c>
      <c r="B47" s="7" t="s">
        <v>404</v>
      </c>
      <c r="C47" s="7" t="s">
        <v>420</v>
      </c>
      <c r="D47" s="7" t="s">
        <v>421</v>
      </c>
      <c r="E47" s="7" t="s">
        <v>417</v>
      </c>
      <c r="F47" s="7" t="s">
        <v>422</v>
      </c>
      <c r="G47" s="7" t="s">
        <v>271</v>
      </c>
      <c r="H47" s="7" t="s">
        <v>409</v>
      </c>
      <c r="I47" s="7" t="s">
        <v>192</v>
      </c>
      <c r="J47" s="7" t="s">
        <v>410</v>
      </c>
      <c r="K47" s="7" t="s">
        <v>192</v>
      </c>
    </row>
    <row r="48" customFormat="false" ht="15" hidden="false" customHeight="false" outlineLevel="0" collapsed="false">
      <c r="A48" s="7" t="s">
        <v>423</v>
      </c>
      <c r="B48" s="7" t="s">
        <v>404</v>
      </c>
      <c r="C48" s="7" t="s">
        <v>424</v>
      </c>
      <c r="D48" s="7" t="s">
        <v>406</v>
      </c>
      <c r="E48" s="7" t="s">
        <v>425</v>
      </c>
      <c r="F48" s="7" t="s">
        <v>426</v>
      </c>
      <c r="G48" s="7" t="s">
        <v>271</v>
      </c>
      <c r="H48" s="7" t="s">
        <v>409</v>
      </c>
      <c r="I48" s="7" t="s">
        <v>192</v>
      </c>
      <c r="J48" s="7" t="s">
        <v>410</v>
      </c>
      <c r="K48" s="7" t="s">
        <v>192</v>
      </c>
    </row>
    <row r="49" customFormat="false" ht="15" hidden="false" customHeight="false" outlineLevel="0" collapsed="false">
      <c r="A49" s="7" t="s">
        <v>427</v>
      </c>
      <c r="B49" s="7" t="s">
        <v>404</v>
      </c>
      <c r="C49" s="7" t="s">
        <v>428</v>
      </c>
      <c r="D49" s="7" t="s">
        <v>421</v>
      </c>
      <c r="E49" s="7" t="s">
        <v>425</v>
      </c>
      <c r="F49" s="7" t="s">
        <v>429</v>
      </c>
      <c r="G49" s="7" t="s">
        <v>271</v>
      </c>
      <c r="H49" s="7" t="s">
        <v>409</v>
      </c>
      <c r="I49" s="7" t="s">
        <v>192</v>
      </c>
      <c r="J49" s="7" t="s">
        <v>410</v>
      </c>
      <c r="K49" s="7" t="s">
        <v>192</v>
      </c>
    </row>
  </sheetData>
  <autoFilter ref="A3:K4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34"/>
    <col collapsed="false" customWidth="true" hidden="false" outlineLevel="0" max="3" min="3" style="0" width="10"/>
    <col collapsed="false" customWidth="true" hidden="false" outlineLevel="0" max="4" min="4" style="0" width="46"/>
    <col collapsed="false" customWidth="true" hidden="false" outlineLevel="0" max="5" min="5" style="0" width="14"/>
    <col collapsed="false" customWidth="true" hidden="false" outlineLevel="0" max="6" min="6" style="0" width="12"/>
    <col collapsed="false" customWidth="true" hidden="false" outlineLevel="0" max="7" min="7" style="0" width="14"/>
    <col collapsed="false" customWidth="true" hidden="false" outlineLevel="0" max="8" min="8" style="0" width="12"/>
    <col collapsed="false" customWidth="true" hidden="false" outlineLevel="0" max="9" min="9" style="0" width="34"/>
    <col collapsed="false" customWidth="true" hidden="false" outlineLevel="0" max="10" min="10" style="0" width="9"/>
    <col collapsed="false" customWidth="true" hidden="false" outlineLevel="0" max="11" min="11" style="0" width="18"/>
  </cols>
  <sheetData>
    <row r="1" customFormat="false" ht="15" hidden="false" customHeight="false" outlineLevel="0" collapsed="false">
      <c r="A1" s="5" t="s">
        <v>430</v>
      </c>
    </row>
    <row r="3" customFormat="false" ht="30" hidden="false" customHeight="true" outlineLevel="0" collapsed="false">
      <c r="A3" s="6" t="s">
        <v>431</v>
      </c>
      <c r="B3" s="6" t="s">
        <v>24</v>
      </c>
      <c r="C3" s="6" t="s">
        <v>432</v>
      </c>
      <c r="D3" s="6" t="s">
        <v>433</v>
      </c>
      <c r="E3" s="6" t="s">
        <v>434</v>
      </c>
      <c r="F3" s="6" t="s">
        <v>435</v>
      </c>
      <c r="G3" s="6" t="s">
        <v>436</v>
      </c>
      <c r="H3" s="6" t="s">
        <v>437</v>
      </c>
      <c r="I3" s="6" t="s">
        <v>438</v>
      </c>
      <c r="J3" s="6" t="s">
        <v>439</v>
      </c>
      <c r="K3" s="6" t="s">
        <v>440</v>
      </c>
    </row>
    <row r="4" customFormat="false" ht="15" hidden="false" customHeight="false" outlineLevel="0" collapsed="false">
      <c r="A4" s="7" t="s">
        <v>320</v>
      </c>
      <c r="B4" s="7" t="s">
        <v>79</v>
      </c>
      <c r="C4" s="7" t="s">
        <v>75</v>
      </c>
      <c r="D4" s="7" t="s">
        <v>76</v>
      </c>
      <c r="E4" s="7" t="s">
        <v>53</v>
      </c>
      <c r="F4" s="7" t="s">
        <v>35</v>
      </c>
      <c r="G4" s="8" t="n">
        <v>7</v>
      </c>
      <c r="H4" s="8" t="n">
        <v>7</v>
      </c>
      <c r="I4" s="7" t="s">
        <v>277</v>
      </c>
      <c r="J4" s="7" t="n">
        <v>79</v>
      </c>
      <c r="K4" s="7" t="s">
        <v>441</v>
      </c>
    </row>
    <row r="5" customFormat="false" ht="15" hidden="false" customHeight="false" outlineLevel="0" collapsed="false">
      <c r="A5" s="7" t="s">
        <v>320</v>
      </c>
      <c r="B5" s="7" t="s">
        <v>79</v>
      </c>
      <c r="C5" s="7" t="s">
        <v>142</v>
      </c>
      <c r="D5" s="7" t="s">
        <v>143</v>
      </c>
      <c r="E5" s="7" t="s">
        <v>53</v>
      </c>
      <c r="F5" s="7" t="s">
        <v>35</v>
      </c>
      <c r="G5" s="13" t="n">
        <v>85</v>
      </c>
      <c r="H5" s="13" t="n">
        <v>85</v>
      </c>
      <c r="I5" s="7" t="s">
        <v>277</v>
      </c>
      <c r="J5" s="7" t="n">
        <v>80</v>
      </c>
      <c r="K5" s="7" t="s">
        <v>441</v>
      </c>
    </row>
    <row r="6" customFormat="false" ht="15" hidden="false" customHeight="false" outlineLevel="0" collapsed="false">
      <c r="A6" s="7" t="s">
        <v>324</v>
      </c>
      <c r="B6" s="7" t="s">
        <v>85</v>
      </c>
      <c r="C6" s="7" t="s">
        <v>82</v>
      </c>
      <c r="D6" s="7" t="s">
        <v>83</v>
      </c>
      <c r="E6" s="7" t="s">
        <v>53</v>
      </c>
      <c r="F6" s="7" t="s">
        <v>35</v>
      </c>
      <c r="G6" s="8" t="n">
        <v>4</v>
      </c>
      <c r="H6" s="8" t="n">
        <v>4</v>
      </c>
      <c r="I6" s="7" t="s">
        <v>277</v>
      </c>
      <c r="J6" s="7" t="n">
        <v>85</v>
      </c>
      <c r="K6" s="7" t="s">
        <v>441</v>
      </c>
    </row>
    <row r="7" customFormat="false" ht="15" hidden="false" customHeight="false" outlineLevel="0" collapsed="false">
      <c r="A7" s="7" t="s">
        <v>324</v>
      </c>
      <c r="B7" s="7" t="s">
        <v>85</v>
      </c>
      <c r="C7" s="7" t="s">
        <v>140</v>
      </c>
      <c r="D7" s="7" t="s">
        <v>141</v>
      </c>
      <c r="E7" s="7" t="s">
        <v>53</v>
      </c>
      <c r="F7" s="7" t="s">
        <v>35</v>
      </c>
      <c r="G7" s="13" t="n">
        <v>40</v>
      </c>
      <c r="H7" s="13" t="n">
        <v>40</v>
      </c>
      <c r="I7" s="7" t="s">
        <v>277</v>
      </c>
      <c r="J7" s="7" t="n">
        <v>86</v>
      </c>
      <c r="K7" s="7" t="s">
        <v>441</v>
      </c>
    </row>
    <row r="8" customFormat="false" ht="15" hidden="false" customHeight="false" outlineLevel="0" collapsed="false">
      <c r="A8" s="7" t="s">
        <v>327</v>
      </c>
      <c r="B8" s="7" t="s">
        <v>92</v>
      </c>
      <c r="C8" s="7" t="s">
        <v>88</v>
      </c>
      <c r="D8" s="7" t="s">
        <v>89</v>
      </c>
      <c r="E8" s="7" t="s">
        <v>90</v>
      </c>
      <c r="F8" s="7" t="s">
        <v>35</v>
      </c>
      <c r="G8" s="8" t="n">
        <v>13.9</v>
      </c>
      <c r="H8" s="8" t="n">
        <v>13.9</v>
      </c>
      <c r="I8" s="7" t="s">
        <v>277</v>
      </c>
      <c r="J8" s="7" t="n">
        <v>79</v>
      </c>
      <c r="K8" s="7" t="s">
        <v>441</v>
      </c>
    </row>
    <row r="9" customFormat="false" ht="15" hidden="false" customHeight="false" outlineLevel="0" collapsed="false">
      <c r="A9" s="7" t="s">
        <v>327</v>
      </c>
      <c r="B9" s="7" t="s">
        <v>92</v>
      </c>
      <c r="C9" s="7" t="s">
        <v>95</v>
      </c>
      <c r="D9" s="7" t="s">
        <v>96</v>
      </c>
      <c r="E9" s="7" t="s">
        <v>90</v>
      </c>
      <c r="F9" s="7" t="s">
        <v>35</v>
      </c>
      <c r="G9" s="8" t="n">
        <v>11.3</v>
      </c>
      <c r="H9" s="8" t="n">
        <v>11.3</v>
      </c>
      <c r="I9" s="7" t="s">
        <v>277</v>
      </c>
      <c r="J9" s="7" t="n">
        <v>80</v>
      </c>
      <c r="K9" s="7" t="s">
        <v>441</v>
      </c>
    </row>
    <row r="10" customFormat="false" ht="15" hidden="false" customHeight="false" outlineLevel="0" collapsed="false">
      <c r="A10" s="7" t="s">
        <v>327</v>
      </c>
      <c r="B10" s="7" t="s">
        <v>92</v>
      </c>
      <c r="C10" s="7" t="s">
        <v>137</v>
      </c>
      <c r="D10" s="7" t="s">
        <v>138</v>
      </c>
      <c r="E10" s="7" t="s">
        <v>53</v>
      </c>
      <c r="F10" s="7" t="s">
        <v>35</v>
      </c>
      <c r="G10" s="8" t="n">
        <v>86</v>
      </c>
      <c r="H10" s="8" t="n">
        <v>86</v>
      </c>
      <c r="I10" s="7" t="s">
        <v>277</v>
      </c>
      <c r="J10" s="7" t="n">
        <v>81</v>
      </c>
      <c r="K10" s="7" t="s">
        <v>441</v>
      </c>
    </row>
    <row r="11" customFormat="false" ht="15" hidden="false" customHeight="false" outlineLevel="0" collapsed="false">
      <c r="A11" s="7" t="s">
        <v>330</v>
      </c>
      <c r="B11" s="7" t="s">
        <v>99</v>
      </c>
      <c r="C11" s="7" t="s">
        <v>97</v>
      </c>
      <c r="D11" s="7" t="s">
        <v>98</v>
      </c>
      <c r="E11" s="7" t="s">
        <v>90</v>
      </c>
      <c r="F11" s="7" t="s">
        <v>35</v>
      </c>
      <c r="G11" s="8" t="n">
        <v>71.6</v>
      </c>
      <c r="H11" s="8" t="n">
        <v>71.6</v>
      </c>
      <c r="I11" s="7" t="s">
        <v>277</v>
      </c>
      <c r="J11" s="7" t="n">
        <v>79</v>
      </c>
      <c r="K11" s="7" t="s">
        <v>441</v>
      </c>
    </row>
    <row r="12" customFormat="false" ht="15" hidden="false" customHeight="false" outlineLevel="0" collapsed="false">
      <c r="A12" s="7" t="s">
        <v>330</v>
      </c>
      <c r="B12" s="7" t="s">
        <v>99</v>
      </c>
      <c r="C12" s="7" t="s">
        <v>100</v>
      </c>
      <c r="D12" s="7" t="s">
        <v>101</v>
      </c>
      <c r="E12" s="7" t="s">
        <v>53</v>
      </c>
      <c r="F12" s="7" t="s">
        <v>35</v>
      </c>
      <c r="G12" s="13" t="n">
        <v>11</v>
      </c>
      <c r="H12" s="13" t="n">
        <v>10</v>
      </c>
      <c r="I12" s="7" t="s">
        <v>277</v>
      </c>
      <c r="J12" s="7" t="n">
        <v>80</v>
      </c>
      <c r="K12" s="7" t="s">
        <v>442</v>
      </c>
    </row>
    <row r="13" customFormat="false" ht="15" hidden="false" customHeight="false" outlineLevel="0" collapsed="false">
      <c r="A13" s="7" t="s">
        <v>330</v>
      </c>
      <c r="B13" s="7" t="s">
        <v>99</v>
      </c>
      <c r="C13" s="7" t="s">
        <v>132</v>
      </c>
      <c r="D13" s="7" t="s">
        <v>133</v>
      </c>
      <c r="E13" s="7" t="s">
        <v>53</v>
      </c>
      <c r="F13" s="7" t="s">
        <v>35</v>
      </c>
      <c r="G13" s="13" t="n">
        <v>95</v>
      </c>
      <c r="H13" s="13" t="n">
        <v>95</v>
      </c>
      <c r="I13" s="7" t="s">
        <v>277</v>
      </c>
      <c r="J13" s="7" t="n">
        <v>81</v>
      </c>
      <c r="K13" s="7" t="s">
        <v>441</v>
      </c>
    </row>
    <row r="14" customFormat="false" ht="15" hidden="false" customHeight="false" outlineLevel="0" collapsed="false">
      <c r="A14" s="7" t="s">
        <v>330</v>
      </c>
      <c r="B14" s="7" t="s">
        <v>99</v>
      </c>
      <c r="C14" s="7" t="s">
        <v>134</v>
      </c>
      <c r="D14" s="7" t="s">
        <v>135</v>
      </c>
      <c r="E14" s="7" t="s">
        <v>136</v>
      </c>
      <c r="F14" s="7" t="s">
        <v>35</v>
      </c>
      <c r="G14" s="15" t="n">
        <v>70</v>
      </c>
      <c r="H14" s="15" t="n">
        <v>70</v>
      </c>
      <c r="I14" s="7" t="s">
        <v>277</v>
      </c>
      <c r="J14" s="7" t="n">
        <v>82</v>
      </c>
      <c r="K14" s="7" t="s">
        <v>441</v>
      </c>
    </row>
    <row r="15" customFormat="false" ht="15" hidden="false" customHeight="false" outlineLevel="0" collapsed="false">
      <c r="A15" s="7" t="s">
        <v>333</v>
      </c>
      <c r="B15" s="7" t="s">
        <v>149</v>
      </c>
      <c r="C15" s="7" t="s">
        <v>146</v>
      </c>
      <c r="D15" s="7" t="s">
        <v>147</v>
      </c>
      <c r="E15" s="7" t="s">
        <v>53</v>
      </c>
      <c r="F15" s="7" t="s">
        <v>35</v>
      </c>
      <c r="G15" s="13" t="n">
        <v>6</v>
      </c>
      <c r="H15" s="13" t="n">
        <v>6</v>
      </c>
      <c r="I15" s="7" t="s">
        <v>277</v>
      </c>
      <c r="J15" s="7" t="n">
        <v>79</v>
      </c>
      <c r="K15" s="7" t="s">
        <v>441</v>
      </c>
    </row>
    <row r="16" customFormat="false" ht="15" hidden="false" customHeight="false" outlineLevel="0" collapsed="false">
      <c r="A16" s="7" t="s">
        <v>336</v>
      </c>
      <c r="B16" s="7" t="s">
        <v>154</v>
      </c>
      <c r="C16" s="7" t="s">
        <v>150</v>
      </c>
      <c r="D16" s="7" t="s">
        <v>151</v>
      </c>
      <c r="E16" s="7" t="s">
        <v>152</v>
      </c>
      <c r="F16" s="7" t="s">
        <v>35</v>
      </c>
      <c r="G16" s="8" t="n">
        <v>4</v>
      </c>
      <c r="H16" s="8" t="n">
        <v>3.5</v>
      </c>
      <c r="I16" s="7" t="s">
        <v>277</v>
      </c>
      <c r="J16" s="7" t="n">
        <v>79</v>
      </c>
      <c r="K16" s="7" t="s">
        <v>442</v>
      </c>
    </row>
    <row r="17" customFormat="false" ht="15" hidden="false" customHeight="false" outlineLevel="0" collapsed="false">
      <c r="A17" s="7" t="s">
        <v>339</v>
      </c>
      <c r="B17" s="7" t="s">
        <v>158</v>
      </c>
      <c r="C17" s="7" t="s">
        <v>155</v>
      </c>
      <c r="D17" s="7" t="s">
        <v>156</v>
      </c>
      <c r="E17" s="7" t="s">
        <v>43</v>
      </c>
      <c r="F17" s="7" t="s">
        <v>35</v>
      </c>
      <c r="G17" s="13" t="n">
        <v>92</v>
      </c>
      <c r="H17" s="13" t="n">
        <v>92</v>
      </c>
      <c r="I17" s="7" t="s">
        <v>277</v>
      </c>
      <c r="J17" s="7" t="n">
        <v>70</v>
      </c>
      <c r="K17" s="7" t="s">
        <v>441</v>
      </c>
    </row>
    <row r="18" customFormat="false" ht="15" hidden="false" customHeight="false" outlineLevel="0" collapsed="false">
      <c r="A18" s="7" t="s">
        <v>342</v>
      </c>
      <c r="B18" s="7" t="s">
        <v>108</v>
      </c>
      <c r="C18" s="7" t="s">
        <v>105</v>
      </c>
      <c r="D18" s="7" t="s">
        <v>106</v>
      </c>
      <c r="E18" s="7" t="s">
        <v>53</v>
      </c>
      <c r="F18" s="7" t="s">
        <v>35</v>
      </c>
      <c r="G18" s="13" t="n">
        <v>12</v>
      </c>
      <c r="H18" s="13" t="n">
        <v>12</v>
      </c>
      <c r="I18" s="7" t="s">
        <v>277</v>
      </c>
      <c r="J18" s="7" t="n">
        <v>73</v>
      </c>
      <c r="K18" s="7" t="s">
        <v>441</v>
      </c>
    </row>
    <row r="19" customFormat="false" ht="15" hidden="false" customHeight="false" outlineLevel="0" collapsed="false">
      <c r="A19" s="7" t="s">
        <v>342</v>
      </c>
      <c r="B19" s="7" t="s">
        <v>108</v>
      </c>
      <c r="C19" s="7" t="s">
        <v>111</v>
      </c>
      <c r="D19" s="7" t="s">
        <v>112</v>
      </c>
      <c r="E19" s="7" t="s">
        <v>53</v>
      </c>
      <c r="F19" s="7" t="s">
        <v>35</v>
      </c>
      <c r="G19" s="8" t="n">
        <v>88</v>
      </c>
      <c r="H19" s="8" t="n">
        <v>90</v>
      </c>
      <c r="I19" s="7" t="s">
        <v>277</v>
      </c>
      <c r="J19" s="7" t="n">
        <v>74</v>
      </c>
      <c r="K19" s="7" t="s">
        <v>442</v>
      </c>
    </row>
    <row r="20" customFormat="false" ht="15" hidden="false" customHeight="false" outlineLevel="0" collapsed="false">
      <c r="A20" s="7" t="s">
        <v>342</v>
      </c>
      <c r="B20" s="7" t="s">
        <v>108</v>
      </c>
      <c r="C20" s="7" t="s">
        <v>115</v>
      </c>
      <c r="D20" s="7" t="s">
        <v>443</v>
      </c>
      <c r="E20" s="7" t="s">
        <v>53</v>
      </c>
      <c r="F20" s="7" t="s">
        <v>35</v>
      </c>
      <c r="G20" s="8" t="n">
        <v>10</v>
      </c>
      <c r="H20" s="8" t="n">
        <v>10</v>
      </c>
      <c r="I20" s="7" t="s">
        <v>277</v>
      </c>
      <c r="J20" s="7" t="n">
        <v>75</v>
      </c>
      <c r="K20" s="7" t="s">
        <v>444</v>
      </c>
    </row>
    <row r="21" customFormat="false" ht="15" hidden="false" customHeight="false" outlineLevel="0" collapsed="false">
      <c r="A21" s="7" t="s">
        <v>344</v>
      </c>
      <c r="B21" s="7" t="s">
        <v>122</v>
      </c>
      <c r="C21" s="7" t="s">
        <v>119</v>
      </c>
      <c r="D21" s="7" t="s">
        <v>120</v>
      </c>
      <c r="E21" s="7" t="s">
        <v>53</v>
      </c>
      <c r="F21" s="7" t="s">
        <v>35</v>
      </c>
      <c r="G21" s="8" t="n">
        <v>100</v>
      </c>
      <c r="H21" s="8" t="n">
        <v>100</v>
      </c>
      <c r="I21" s="7" t="s">
        <v>277</v>
      </c>
      <c r="J21" s="7" t="n">
        <v>79</v>
      </c>
      <c r="K21" s="7" t="s">
        <v>441</v>
      </c>
    </row>
    <row r="22" customFormat="false" ht="15" hidden="false" customHeight="false" outlineLevel="0" collapsed="false">
      <c r="A22" s="7" t="s">
        <v>344</v>
      </c>
      <c r="B22" s="7" t="s">
        <v>122</v>
      </c>
      <c r="C22" s="7" t="s">
        <v>123</v>
      </c>
      <c r="D22" s="7" t="s">
        <v>124</v>
      </c>
      <c r="E22" s="7" t="s">
        <v>53</v>
      </c>
      <c r="F22" s="7" t="s">
        <v>35</v>
      </c>
      <c r="G22" s="8" t="n">
        <v>95</v>
      </c>
      <c r="H22" s="8" t="n">
        <v>95</v>
      </c>
      <c r="I22" s="7" t="s">
        <v>277</v>
      </c>
      <c r="J22" s="7" t="n">
        <v>80</v>
      </c>
      <c r="K22" s="7" t="s">
        <v>441</v>
      </c>
    </row>
    <row r="23" customFormat="false" ht="15" hidden="false" customHeight="false" outlineLevel="0" collapsed="false">
      <c r="A23" s="7" t="s">
        <v>344</v>
      </c>
      <c r="B23" s="7" t="s">
        <v>122</v>
      </c>
      <c r="C23" s="7" t="s">
        <v>125</v>
      </c>
      <c r="D23" s="7" t="s">
        <v>126</v>
      </c>
      <c r="E23" s="7" t="s">
        <v>127</v>
      </c>
      <c r="F23" s="7" t="s">
        <v>35</v>
      </c>
      <c r="G23" s="15" t="n">
        <v>250</v>
      </c>
      <c r="H23" s="15" t="n">
        <v>250</v>
      </c>
      <c r="I23" s="7" t="s">
        <v>277</v>
      </c>
      <c r="J23" s="7" t="n">
        <v>81</v>
      </c>
      <c r="K23" s="7" t="s">
        <v>441</v>
      </c>
    </row>
    <row r="24" customFormat="false" ht="15" hidden="false" customHeight="false" outlineLevel="0" collapsed="false">
      <c r="A24" s="7" t="s">
        <v>347</v>
      </c>
      <c r="B24" s="7" t="s">
        <v>66</v>
      </c>
      <c r="C24" s="7" t="s">
        <v>62</v>
      </c>
      <c r="D24" s="7" t="s">
        <v>63</v>
      </c>
      <c r="E24" s="7" t="s">
        <v>43</v>
      </c>
      <c r="F24" s="7" t="s">
        <v>35</v>
      </c>
      <c r="G24" s="8" t="n">
        <v>66</v>
      </c>
      <c r="H24" s="8" t="n">
        <v>66</v>
      </c>
      <c r="I24" s="7" t="s">
        <v>277</v>
      </c>
      <c r="J24" s="7" t="n">
        <v>73</v>
      </c>
      <c r="K24" s="7" t="s">
        <v>441</v>
      </c>
    </row>
    <row r="25" customFormat="false" ht="15" hidden="false" customHeight="false" outlineLevel="0" collapsed="false">
      <c r="A25" s="7" t="s">
        <v>347</v>
      </c>
      <c r="B25" s="7" t="s">
        <v>66</v>
      </c>
      <c r="C25" s="7" t="s">
        <v>129</v>
      </c>
      <c r="D25" s="7" t="s">
        <v>130</v>
      </c>
      <c r="E25" s="7" t="s">
        <v>445</v>
      </c>
      <c r="F25" s="7" t="s">
        <v>35</v>
      </c>
      <c r="G25" s="13" t="n">
        <v>1050</v>
      </c>
      <c r="H25" s="13" t="n">
        <v>85</v>
      </c>
      <c r="I25" s="7" t="s">
        <v>277</v>
      </c>
      <c r="J25" s="7" t="n">
        <v>74</v>
      </c>
      <c r="K25" s="7" t="s">
        <v>446</v>
      </c>
    </row>
    <row r="26" customFormat="false" ht="15" hidden="false" customHeight="false" outlineLevel="0" collapsed="false">
      <c r="A26" s="7" t="s">
        <v>350</v>
      </c>
      <c r="B26" s="7" t="s">
        <v>163</v>
      </c>
      <c r="C26" s="7" t="s">
        <v>160</v>
      </c>
      <c r="D26" s="7" t="s">
        <v>161</v>
      </c>
      <c r="E26" s="7" t="s">
        <v>53</v>
      </c>
      <c r="F26" s="7" t="s">
        <v>35</v>
      </c>
      <c r="G26" s="13" t="n">
        <v>50</v>
      </c>
      <c r="H26" s="13" t="n">
        <v>50</v>
      </c>
      <c r="I26" s="7" t="s">
        <v>277</v>
      </c>
      <c r="J26" s="7" t="n">
        <v>79</v>
      </c>
      <c r="K26" s="7" t="s">
        <v>441</v>
      </c>
    </row>
    <row r="27" customFormat="false" ht="15" hidden="false" customHeight="false" outlineLevel="0" collapsed="false">
      <c r="A27" s="7" t="s">
        <v>353</v>
      </c>
      <c r="B27" s="7" t="s">
        <v>167</v>
      </c>
      <c r="C27" s="7" t="s">
        <v>164</v>
      </c>
      <c r="D27" s="7" t="s">
        <v>165</v>
      </c>
      <c r="E27" s="7" t="s">
        <v>43</v>
      </c>
      <c r="F27" s="7" t="s">
        <v>35</v>
      </c>
      <c r="G27" s="8" t="n">
        <v>3.8</v>
      </c>
      <c r="H27" s="8" t="n">
        <v>3.8</v>
      </c>
      <c r="I27" s="7" t="s">
        <v>277</v>
      </c>
      <c r="J27" s="7" t="n">
        <v>82</v>
      </c>
      <c r="K27" s="7" t="s">
        <v>441</v>
      </c>
    </row>
    <row r="28" customFormat="false" ht="15" hidden="false" customHeight="false" outlineLevel="0" collapsed="false">
      <c r="A28" s="7" t="s">
        <v>357</v>
      </c>
      <c r="B28" s="7" t="s">
        <v>79</v>
      </c>
      <c r="C28" s="7" t="s">
        <v>75</v>
      </c>
      <c r="D28" s="7" t="s">
        <v>76</v>
      </c>
      <c r="E28" s="7" t="s">
        <v>53</v>
      </c>
      <c r="F28" s="7" t="s">
        <v>32</v>
      </c>
      <c r="G28" s="8" t="n">
        <v>7.9</v>
      </c>
      <c r="H28" s="8" t="n">
        <v>8.1</v>
      </c>
      <c r="I28" s="7" t="s">
        <v>289</v>
      </c>
      <c r="J28" s="7" t="n">
        <v>79</v>
      </c>
      <c r="K28" s="7" t="s">
        <v>442</v>
      </c>
    </row>
    <row r="29" customFormat="false" ht="15" hidden="false" customHeight="false" outlineLevel="0" collapsed="false">
      <c r="A29" s="7" t="s">
        <v>357</v>
      </c>
      <c r="B29" s="7" t="s">
        <v>79</v>
      </c>
      <c r="C29" s="7" t="s">
        <v>142</v>
      </c>
      <c r="D29" s="7" t="s">
        <v>143</v>
      </c>
      <c r="E29" s="7" t="s">
        <v>53</v>
      </c>
      <c r="F29" s="7" t="s">
        <v>32</v>
      </c>
      <c r="G29" s="13" t="n">
        <v>76</v>
      </c>
      <c r="H29" s="13" t="n">
        <v>76</v>
      </c>
      <c r="I29" s="7" t="s">
        <v>289</v>
      </c>
      <c r="J29" s="7" t="n">
        <v>80</v>
      </c>
      <c r="K29" s="7" t="s">
        <v>441</v>
      </c>
    </row>
    <row r="30" customFormat="false" ht="15" hidden="false" customHeight="false" outlineLevel="0" collapsed="false">
      <c r="A30" s="7" t="s">
        <v>360</v>
      </c>
      <c r="B30" s="7" t="s">
        <v>85</v>
      </c>
      <c r="C30" s="7" t="s">
        <v>82</v>
      </c>
      <c r="D30" s="7" t="s">
        <v>83</v>
      </c>
      <c r="E30" s="7" t="s">
        <v>53</v>
      </c>
      <c r="F30" s="7" t="s">
        <v>32</v>
      </c>
      <c r="G30" s="8" t="n">
        <v>4.6</v>
      </c>
      <c r="H30" s="8" t="n">
        <v>4.6</v>
      </c>
      <c r="I30" s="7" t="s">
        <v>289</v>
      </c>
      <c r="J30" s="7" t="n">
        <v>85</v>
      </c>
      <c r="K30" s="7" t="s">
        <v>441</v>
      </c>
    </row>
    <row r="31" customFormat="false" ht="15" hidden="false" customHeight="false" outlineLevel="0" collapsed="false">
      <c r="A31" s="7" t="s">
        <v>360</v>
      </c>
      <c r="B31" s="7" t="s">
        <v>85</v>
      </c>
      <c r="C31" s="7" t="s">
        <v>140</v>
      </c>
      <c r="D31" s="7" t="s">
        <v>141</v>
      </c>
      <c r="E31" s="7" t="s">
        <v>53</v>
      </c>
      <c r="F31" s="7" t="s">
        <v>32</v>
      </c>
      <c r="G31" s="13" t="n">
        <v>34</v>
      </c>
      <c r="H31" s="13" t="n">
        <v>34</v>
      </c>
      <c r="I31" s="7" t="s">
        <v>289</v>
      </c>
      <c r="J31" s="7" t="n">
        <v>86</v>
      </c>
      <c r="K31" s="7" t="s">
        <v>441</v>
      </c>
    </row>
    <row r="32" customFormat="false" ht="15" hidden="false" customHeight="false" outlineLevel="0" collapsed="false">
      <c r="A32" s="7" t="s">
        <v>363</v>
      </c>
      <c r="B32" s="7" t="s">
        <v>92</v>
      </c>
      <c r="C32" s="7" t="s">
        <v>88</v>
      </c>
      <c r="D32" s="7" t="s">
        <v>89</v>
      </c>
      <c r="E32" s="7" t="s">
        <v>90</v>
      </c>
      <c r="F32" s="7" t="s">
        <v>32</v>
      </c>
      <c r="G32" s="8" t="n">
        <v>13.69</v>
      </c>
      <c r="H32" s="8" t="n">
        <v>13.69</v>
      </c>
      <c r="I32" s="7" t="s">
        <v>289</v>
      </c>
      <c r="J32" s="7" t="n">
        <v>79</v>
      </c>
      <c r="K32" s="7" t="s">
        <v>441</v>
      </c>
    </row>
    <row r="33" customFormat="false" ht="15" hidden="false" customHeight="false" outlineLevel="0" collapsed="false">
      <c r="A33" s="7" t="s">
        <v>363</v>
      </c>
      <c r="B33" s="7" t="s">
        <v>92</v>
      </c>
      <c r="C33" s="7" t="s">
        <v>95</v>
      </c>
      <c r="D33" s="7" t="s">
        <v>96</v>
      </c>
      <c r="E33" s="7" t="s">
        <v>90</v>
      </c>
      <c r="F33" s="7" t="s">
        <v>32</v>
      </c>
      <c r="G33" s="8" t="n">
        <v>11.07</v>
      </c>
      <c r="H33" s="8" t="n">
        <v>11.07</v>
      </c>
      <c r="I33" s="7" t="s">
        <v>289</v>
      </c>
      <c r="J33" s="7" t="n">
        <v>80</v>
      </c>
      <c r="K33" s="7" t="s">
        <v>441</v>
      </c>
    </row>
    <row r="34" customFormat="false" ht="15" hidden="false" customHeight="false" outlineLevel="0" collapsed="false">
      <c r="A34" s="7" t="s">
        <v>363</v>
      </c>
      <c r="B34" s="7" t="s">
        <v>92</v>
      </c>
      <c r="C34" s="7" t="s">
        <v>137</v>
      </c>
      <c r="D34" s="7" t="s">
        <v>138</v>
      </c>
      <c r="E34" s="7" t="s">
        <v>53</v>
      </c>
      <c r="F34" s="7" t="s">
        <v>32</v>
      </c>
      <c r="G34" s="8" t="n">
        <v>83.5</v>
      </c>
      <c r="H34" s="8" t="n">
        <v>82.62</v>
      </c>
      <c r="I34" s="7" t="s">
        <v>289</v>
      </c>
      <c r="J34" s="7" t="n">
        <v>81</v>
      </c>
      <c r="K34" s="7" t="s">
        <v>442</v>
      </c>
    </row>
    <row r="35" customFormat="false" ht="15" hidden="false" customHeight="false" outlineLevel="0" collapsed="false">
      <c r="A35" s="7" t="s">
        <v>366</v>
      </c>
      <c r="B35" s="7" t="s">
        <v>99</v>
      </c>
      <c r="C35" s="7" t="s">
        <v>97</v>
      </c>
      <c r="D35" s="7" t="s">
        <v>98</v>
      </c>
      <c r="E35" s="7" t="s">
        <v>90</v>
      </c>
      <c r="F35" s="7" t="s">
        <v>32</v>
      </c>
      <c r="G35" s="8" t="n">
        <v>71.08</v>
      </c>
      <c r="H35" s="8" t="n">
        <v>71.08</v>
      </c>
      <c r="I35" s="7" t="s">
        <v>289</v>
      </c>
      <c r="J35" s="7" t="n">
        <v>79</v>
      </c>
      <c r="K35" s="7" t="s">
        <v>441</v>
      </c>
    </row>
    <row r="36" customFormat="false" ht="15" hidden="false" customHeight="false" outlineLevel="0" collapsed="false">
      <c r="A36" s="7" t="s">
        <v>366</v>
      </c>
      <c r="B36" s="7" t="s">
        <v>99</v>
      </c>
      <c r="C36" s="7" t="s">
        <v>100</v>
      </c>
      <c r="D36" s="7" t="s">
        <v>101</v>
      </c>
      <c r="E36" s="7" t="s">
        <v>53</v>
      </c>
      <c r="F36" s="7" t="s">
        <v>32</v>
      </c>
      <c r="G36" s="13" t="n">
        <v>13</v>
      </c>
      <c r="H36" s="13" t="n">
        <v>13</v>
      </c>
      <c r="I36" s="7" t="s">
        <v>289</v>
      </c>
      <c r="J36" s="7" t="n">
        <v>80</v>
      </c>
      <c r="K36" s="7" t="s">
        <v>441</v>
      </c>
    </row>
    <row r="37" customFormat="false" ht="15" hidden="false" customHeight="false" outlineLevel="0" collapsed="false">
      <c r="A37" s="7" t="s">
        <v>366</v>
      </c>
      <c r="B37" s="7" t="s">
        <v>99</v>
      </c>
      <c r="C37" s="7" t="s">
        <v>132</v>
      </c>
      <c r="D37" s="7" t="s">
        <v>447</v>
      </c>
      <c r="E37" s="7" t="s">
        <v>53</v>
      </c>
      <c r="F37" s="7" t="s">
        <v>32</v>
      </c>
      <c r="G37" s="13"/>
      <c r="H37" s="13" t="n">
        <v>93.5</v>
      </c>
      <c r="I37" s="7" t="s">
        <v>289</v>
      </c>
      <c r="J37" s="7"/>
      <c r="K37" s="7" t="s">
        <v>448</v>
      </c>
    </row>
    <row r="38" customFormat="false" ht="15" hidden="false" customHeight="false" outlineLevel="0" collapsed="false">
      <c r="A38" s="7" t="s">
        <v>366</v>
      </c>
      <c r="B38" s="7" t="s">
        <v>99</v>
      </c>
      <c r="C38" s="7" t="s">
        <v>134</v>
      </c>
      <c r="D38" s="7" t="s">
        <v>135</v>
      </c>
      <c r="E38" s="7" t="s">
        <v>136</v>
      </c>
      <c r="F38" s="7" t="s">
        <v>32</v>
      </c>
      <c r="G38" s="15" t="n">
        <v>80</v>
      </c>
      <c r="H38" s="15" t="n">
        <v>80</v>
      </c>
      <c r="I38" s="7" t="s">
        <v>289</v>
      </c>
      <c r="J38" s="7" t="n">
        <v>82</v>
      </c>
      <c r="K38" s="7" t="s">
        <v>441</v>
      </c>
    </row>
    <row r="39" customFormat="false" ht="15" hidden="false" customHeight="false" outlineLevel="0" collapsed="false">
      <c r="A39" s="7" t="s">
        <v>369</v>
      </c>
      <c r="B39" s="7" t="s">
        <v>149</v>
      </c>
      <c r="C39" s="7" t="s">
        <v>146</v>
      </c>
      <c r="D39" s="7" t="s">
        <v>147</v>
      </c>
      <c r="E39" s="7" t="s">
        <v>53</v>
      </c>
      <c r="F39" s="7" t="s">
        <v>32</v>
      </c>
      <c r="G39" s="13" t="n">
        <v>4.9</v>
      </c>
      <c r="H39" s="13" t="n">
        <v>4.9</v>
      </c>
      <c r="I39" s="7" t="s">
        <v>289</v>
      </c>
      <c r="J39" s="7" t="n">
        <v>79</v>
      </c>
      <c r="K39" s="7" t="s">
        <v>441</v>
      </c>
    </row>
    <row r="40" customFormat="false" ht="15" hidden="false" customHeight="false" outlineLevel="0" collapsed="false">
      <c r="A40" s="7" t="s">
        <v>372</v>
      </c>
      <c r="B40" s="7" t="s">
        <v>154</v>
      </c>
      <c r="C40" s="7" t="s">
        <v>150</v>
      </c>
      <c r="D40" s="7" t="s">
        <v>151</v>
      </c>
      <c r="E40" s="7" t="s">
        <v>152</v>
      </c>
      <c r="F40" s="7" t="s">
        <v>32</v>
      </c>
      <c r="G40" s="8" t="n">
        <v>2.97</v>
      </c>
      <c r="H40" s="8" t="n">
        <v>2.97</v>
      </c>
      <c r="I40" s="7" t="s">
        <v>289</v>
      </c>
      <c r="J40" s="7" t="n">
        <v>79</v>
      </c>
      <c r="K40" s="7" t="s">
        <v>441</v>
      </c>
    </row>
    <row r="41" customFormat="false" ht="15" hidden="false" customHeight="false" outlineLevel="0" collapsed="false">
      <c r="A41" s="7" t="s">
        <v>375</v>
      </c>
      <c r="B41" s="7" t="s">
        <v>158</v>
      </c>
      <c r="C41" s="7" t="s">
        <v>155</v>
      </c>
      <c r="D41" s="7" t="s">
        <v>156</v>
      </c>
      <c r="E41" s="7" t="s">
        <v>43</v>
      </c>
      <c r="F41" s="7" t="s">
        <v>32</v>
      </c>
      <c r="G41" s="13" t="n">
        <v>88.2</v>
      </c>
      <c r="H41" s="13" t="n">
        <v>88.2</v>
      </c>
      <c r="I41" s="7" t="s">
        <v>289</v>
      </c>
      <c r="J41" s="7" t="n">
        <v>70</v>
      </c>
      <c r="K41" s="7" t="s">
        <v>441</v>
      </c>
    </row>
    <row r="42" customFormat="false" ht="15" hidden="false" customHeight="false" outlineLevel="0" collapsed="false">
      <c r="A42" s="7" t="s">
        <v>378</v>
      </c>
      <c r="B42" s="7" t="s">
        <v>108</v>
      </c>
      <c r="C42" s="7" t="s">
        <v>105</v>
      </c>
      <c r="D42" s="7" t="s">
        <v>106</v>
      </c>
      <c r="E42" s="7" t="s">
        <v>53</v>
      </c>
      <c r="F42" s="7" t="s">
        <v>32</v>
      </c>
      <c r="G42" s="13" t="n">
        <v>9.4</v>
      </c>
      <c r="H42" s="13" t="n">
        <v>9.4</v>
      </c>
      <c r="I42" s="7" t="s">
        <v>289</v>
      </c>
      <c r="J42" s="7" t="n">
        <v>73</v>
      </c>
      <c r="K42" s="7" t="s">
        <v>441</v>
      </c>
    </row>
    <row r="43" customFormat="false" ht="15" hidden="false" customHeight="false" outlineLevel="0" collapsed="false">
      <c r="A43" s="7" t="s">
        <v>378</v>
      </c>
      <c r="B43" s="7" t="s">
        <v>108</v>
      </c>
      <c r="C43" s="7" t="s">
        <v>111</v>
      </c>
      <c r="D43" s="7" t="s">
        <v>112</v>
      </c>
      <c r="E43" s="7" t="s">
        <v>53</v>
      </c>
      <c r="F43" s="7" t="s">
        <v>32</v>
      </c>
      <c r="G43" s="8" t="n">
        <v>87</v>
      </c>
      <c r="H43" s="8" t="n">
        <v>87</v>
      </c>
      <c r="I43" s="7" t="s">
        <v>289</v>
      </c>
      <c r="J43" s="7" t="n">
        <v>74</v>
      </c>
      <c r="K43" s="7" t="s">
        <v>441</v>
      </c>
    </row>
    <row r="44" customFormat="false" ht="15" hidden="false" customHeight="false" outlineLevel="0" collapsed="false">
      <c r="A44" s="7" t="s">
        <v>378</v>
      </c>
      <c r="B44" s="7" t="s">
        <v>108</v>
      </c>
      <c r="C44" s="7" t="s">
        <v>115</v>
      </c>
      <c r="D44" s="7" t="s">
        <v>116</v>
      </c>
      <c r="E44" s="7" t="s">
        <v>53</v>
      </c>
      <c r="F44" s="7" t="s">
        <v>32</v>
      </c>
      <c r="G44" s="8" t="n">
        <v>13.38</v>
      </c>
      <c r="H44" s="8" t="n">
        <v>13.38</v>
      </c>
      <c r="I44" s="7" t="s">
        <v>289</v>
      </c>
      <c r="J44" s="7" t="n">
        <v>75</v>
      </c>
      <c r="K44" s="7" t="s">
        <v>441</v>
      </c>
    </row>
    <row r="45" customFormat="false" ht="15" hidden="false" customHeight="false" outlineLevel="0" collapsed="false">
      <c r="A45" s="7" t="s">
        <v>381</v>
      </c>
      <c r="B45" s="7" t="s">
        <v>122</v>
      </c>
      <c r="C45" s="7" t="s">
        <v>119</v>
      </c>
      <c r="D45" s="7" t="s">
        <v>120</v>
      </c>
      <c r="E45" s="7" t="s">
        <v>53</v>
      </c>
      <c r="F45" s="7" t="s">
        <v>32</v>
      </c>
      <c r="G45" s="8" t="n">
        <v>95.5</v>
      </c>
      <c r="H45" s="8" t="n">
        <v>95.5</v>
      </c>
      <c r="I45" s="7" t="s">
        <v>289</v>
      </c>
      <c r="J45" s="7" t="n">
        <v>79</v>
      </c>
      <c r="K45" s="7" t="s">
        <v>441</v>
      </c>
    </row>
    <row r="46" customFormat="false" ht="15" hidden="false" customHeight="false" outlineLevel="0" collapsed="false">
      <c r="A46" s="7" t="s">
        <v>381</v>
      </c>
      <c r="B46" s="7" t="s">
        <v>122</v>
      </c>
      <c r="C46" s="7" t="s">
        <v>123</v>
      </c>
      <c r="D46" s="7" t="s">
        <v>124</v>
      </c>
      <c r="E46" s="7" t="s">
        <v>53</v>
      </c>
      <c r="F46" s="7" t="s">
        <v>32</v>
      </c>
      <c r="G46" s="8" t="n">
        <v>91.25</v>
      </c>
      <c r="H46" s="8" t="n">
        <v>91.25</v>
      </c>
      <c r="I46" s="7" t="s">
        <v>289</v>
      </c>
      <c r="J46" s="7" t="n">
        <v>80</v>
      </c>
      <c r="K46" s="7" t="s">
        <v>441</v>
      </c>
    </row>
    <row r="47" customFormat="false" ht="15" hidden="false" customHeight="false" outlineLevel="0" collapsed="false">
      <c r="A47" s="7" t="s">
        <v>381</v>
      </c>
      <c r="B47" s="7" t="s">
        <v>122</v>
      </c>
      <c r="C47" s="7" t="s">
        <v>125</v>
      </c>
      <c r="D47" s="7" t="s">
        <v>126</v>
      </c>
      <c r="E47" s="7" t="s">
        <v>127</v>
      </c>
      <c r="F47" s="7" t="s">
        <v>32</v>
      </c>
      <c r="G47" s="15" t="n">
        <v>310</v>
      </c>
      <c r="H47" s="15" t="n">
        <v>310</v>
      </c>
      <c r="I47" s="7" t="s">
        <v>289</v>
      </c>
      <c r="J47" s="7" t="n">
        <v>81</v>
      </c>
      <c r="K47" s="7" t="s">
        <v>441</v>
      </c>
    </row>
    <row r="48" customFormat="false" ht="15" hidden="false" customHeight="false" outlineLevel="0" collapsed="false">
      <c r="A48" s="7" t="s">
        <v>383</v>
      </c>
      <c r="B48" s="7" t="s">
        <v>66</v>
      </c>
      <c r="C48" s="7" t="s">
        <v>62</v>
      </c>
      <c r="D48" s="7" t="s">
        <v>63</v>
      </c>
      <c r="E48" s="7" t="s">
        <v>43</v>
      </c>
      <c r="F48" s="7" t="s">
        <v>32</v>
      </c>
      <c r="G48" s="8" t="n">
        <v>63</v>
      </c>
      <c r="H48" s="8" t="n">
        <v>63</v>
      </c>
      <c r="I48" s="7" t="s">
        <v>289</v>
      </c>
      <c r="J48" s="7" t="n">
        <v>73</v>
      </c>
      <c r="K48" s="7" t="s">
        <v>441</v>
      </c>
    </row>
    <row r="49" customFormat="false" ht="15" hidden="false" customHeight="false" outlineLevel="0" collapsed="false">
      <c r="A49" s="7" t="s">
        <v>383</v>
      </c>
      <c r="B49" s="7" t="s">
        <v>66</v>
      </c>
      <c r="C49" s="7" t="s">
        <v>129</v>
      </c>
      <c r="D49" s="7" t="s">
        <v>130</v>
      </c>
      <c r="E49" s="7" t="s">
        <v>53</v>
      </c>
      <c r="F49" s="7" t="s">
        <v>32</v>
      </c>
      <c r="G49" s="13" t="n">
        <v>76</v>
      </c>
      <c r="H49" s="13" t="n">
        <v>76</v>
      </c>
      <c r="I49" s="7" t="s">
        <v>289</v>
      </c>
      <c r="J49" s="7" t="n">
        <v>74</v>
      </c>
      <c r="K49" s="7" t="s">
        <v>441</v>
      </c>
    </row>
    <row r="50" customFormat="false" ht="15" hidden="false" customHeight="false" outlineLevel="0" collapsed="false">
      <c r="A50" s="7" t="s">
        <v>386</v>
      </c>
      <c r="B50" s="7" t="s">
        <v>163</v>
      </c>
      <c r="C50" s="7" t="s">
        <v>160</v>
      </c>
      <c r="D50" s="7" t="s">
        <v>161</v>
      </c>
      <c r="E50" s="7" t="s">
        <v>53</v>
      </c>
      <c r="F50" s="7" t="s">
        <v>32</v>
      </c>
      <c r="G50" s="13" t="n">
        <v>38</v>
      </c>
      <c r="H50" s="13" t="n">
        <v>38</v>
      </c>
      <c r="I50" s="7" t="s">
        <v>289</v>
      </c>
      <c r="J50" s="7" t="n">
        <v>79</v>
      </c>
      <c r="K50" s="7" t="s">
        <v>441</v>
      </c>
    </row>
    <row r="51" customFormat="false" ht="15" hidden="false" customHeight="false" outlineLevel="0" collapsed="false">
      <c r="A51" s="7" t="s">
        <v>388</v>
      </c>
      <c r="B51" s="7" t="s">
        <v>167</v>
      </c>
      <c r="C51" s="7" t="s">
        <v>164</v>
      </c>
      <c r="D51" s="7" t="s">
        <v>165</v>
      </c>
      <c r="E51" s="7" t="s">
        <v>43</v>
      </c>
      <c r="F51" s="7" t="s">
        <v>32</v>
      </c>
      <c r="G51" s="8" t="n">
        <v>3.35</v>
      </c>
      <c r="H51" s="8" t="n">
        <v>3.35</v>
      </c>
      <c r="I51" s="7" t="s">
        <v>289</v>
      </c>
      <c r="J51" s="7" t="n">
        <v>82</v>
      </c>
      <c r="K51" s="7" t="s">
        <v>441</v>
      </c>
    </row>
  </sheetData>
  <autoFilter ref="A3:K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16"/>
    <col collapsed="false" customWidth="true" hidden="false" outlineLevel="0" max="4" min="4" style="0" width="38"/>
    <col collapsed="false" customWidth="true" hidden="false" outlineLevel="0" max="5" min="5" style="0" width="36"/>
    <col collapsed="false" customWidth="true" hidden="false" outlineLevel="0" max="6" min="6" style="0" width="16"/>
    <col collapsed="false" customWidth="true" hidden="false" outlineLevel="0" max="7" min="7" style="0" width="34"/>
    <col collapsed="false" customWidth="true" hidden="false" outlineLevel="0" max="8" min="8" style="0" width="16"/>
    <col collapsed="false" customWidth="true" hidden="false" outlineLevel="0" max="9" min="9" style="0" width="26"/>
    <col collapsed="false" customWidth="true" hidden="false" outlineLevel="0" max="10" min="10" style="0" width="12"/>
    <col collapsed="false" customWidth="true" hidden="false" outlineLevel="0" max="11" min="11" style="0" width="26"/>
    <col collapsed="false" customWidth="true" hidden="false" outlineLevel="0" max="12" min="12" style="0" width="18"/>
    <col collapsed="false" customWidth="true" hidden="false" outlineLevel="0" max="13" min="13" style="0" width="80"/>
  </cols>
  <sheetData>
    <row r="1" customFormat="false" ht="15" hidden="false" customHeight="false" outlineLevel="0" collapsed="false">
      <c r="A1" s="5" t="s">
        <v>449</v>
      </c>
    </row>
    <row r="3" customFormat="false" ht="30" hidden="false" customHeight="true" outlineLevel="0" collapsed="false">
      <c r="A3" s="6" t="s">
        <v>173</v>
      </c>
      <c r="B3" s="6" t="s">
        <v>450</v>
      </c>
      <c r="C3" s="6" t="s">
        <v>451</v>
      </c>
      <c r="D3" s="6" t="s">
        <v>452</v>
      </c>
      <c r="E3" s="6" t="s">
        <v>18</v>
      </c>
      <c r="F3" s="6" t="s">
        <v>453</v>
      </c>
      <c r="G3" s="6" t="s">
        <v>438</v>
      </c>
      <c r="H3" s="6" t="s">
        <v>454</v>
      </c>
      <c r="I3" s="6" t="s">
        <v>437</v>
      </c>
      <c r="J3" s="6" t="s">
        <v>455</v>
      </c>
      <c r="K3" s="6" t="s">
        <v>436</v>
      </c>
      <c r="L3" s="6" t="s">
        <v>456</v>
      </c>
      <c r="M3" s="6" t="s">
        <v>457</v>
      </c>
    </row>
    <row r="4" customFormat="false" ht="35.05" hidden="false" customHeight="false" outlineLevel="0" collapsed="false">
      <c r="A4" s="7" t="s">
        <v>458</v>
      </c>
      <c r="B4" s="7" t="s">
        <v>330</v>
      </c>
      <c r="C4" s="7" t="s">
        <v>442</v>
      </c>
      <c r="D4" s="7" t="s">
        <v>459</v>
      </c>
      <c r="E4" s="7" t="s">
        <v>101</v>
      </c>
      <c r="F4" s="7" t="s">
        <v>35</v>
      </c>
      <c r="G4" s="7" t="s">
        <v>277</v>
      </c>
      <c r="H4" s="7" t="s">
        <v>460</v>
      </c>
      <c r="I4" s="7" t="s">
        <v>461</v>
      </c>
      <c r="J4" s="7" t="s">
        <v>462</v>
      </c>
      <c r="K4" s="7" t="s">
        <v>463</v>
      </c>
      <c r="L4" s="7" t="s">
        <v>464</v>
      </c>
      <c r="M4" s="10" t="s">
        <v>465</v>
      </c>
    </row>
    <row r="5" customFormat="false" ht="35.05" hidden="false" customHeight="false" outlineLevel="0" collapsed="false">
      <c r="A5" s="7" t="s">
        <v>466</v>
      </c>
      <c r="B5" s="7" t="s">
        <v>336</v>
      </c>
      <c r="C5" s="7" t="s">
        <v>442</v>
      </c>
      <c r="D5" s="7" t="s">
        <v>459</v>
      </c>
      <c r="E5" s="7" t="s">
        <v>151</v>
      </c>
      <c r="F5" s="7" t="s">
        <v>35</v>
      </c>
      <c r="G5" s="7" t="s">
        <v>277</v>
      </c>
      <c r="H5" s="7" t="s">
        <v>467</v>
      </c>
      <c r="I5" s="7" t="s">
        <v>468</v>
      </c>
      <c r="J5" s="7" t="s">
        <v>469</v>
      </c>
      <c r="K5" s="7" t="s">
        <v>470</v>
      </c>
      <c r="L5" s="7" t="s">
        <v>464</v>
      </c>
      <c r="M5" s="10" t="s">
        <v>471</v>
      </c>
    </row>
    <row r="6" customFormat="false" ht="35.05" hidden="false" customHeight="false" outlineLevel="0" collapsed="false">
      <c r="A6" s="7" t="s">
        <v>472</v>
      </c>
      <c r="B6" s="7" t="s">
        <v>342</v>
      </c>
      <c r="C6" s="7" t="s">
        <v>442</v>
      </c>
      <c r="D6" s="7" t="s">
        <v>459</v>
      </c>
      <c r="E6" s="7" t="s">
        <v>112</v>
      </c>
      <c r="F6" s="7" t="s">
        <v>35</v>
      </c>
      <c r="G6" s="7" t="s">
        <v>277</v>
      </c>
      <c r="H6" s="7" t="s">
        <v>473</v>
      </c>
      <c r="I6" s="7" t="s">
        <v>474</v>
      </c>
      <c r="J6" s="7" t="s">
        <v>475</v>
      </c>
      <c r="K6" s="7" t="s">
        <v>476</v>
      </c>
      <c r="L6" s="7" t="s">
        <v>464</v>
      </c>
      <c r="M6" s="10" t="s">
        <v>477</v>
      </c>
    </row>
    <row r="7" customFormat="false" ht="23.85" hidden="false" customHeight="false" outlineLevel="0" collapsed="false">
      <c r="A7" s="7" t="s">
        <v>478</v>
      </c>
      <c r="B7" s="7" t="s">
        <v>342</v>
      </c>
      <c r="C7" s="7" t="s">
        <v>444</v>
      </c>
      <c r="D7" s="7" t="s">
        <v>479</v>
      </c>
      <c r="E7" s="7" t="s">
        <v>443</v>
      </c>
      <c r="F7" s="7" t="s">
        <v>480</v>
      </c>
      <c r="G7" s="7" t="s">
        <v>481</v>
      </c>
      <c r="H7" s="7" t="s">
        <v>482</v>
      </c>
      <c r="I7" s="7" t="s">
        <v>116</v>
      </c>
      <c r="J7" s="7" t="s">
        <v>483</v>
      </c>
      <c r="K7" s="7" t="s">
        <v>443</v>
      </c>
      <c r="L7" s="7" t="s">
        <v>464</v>
      </c>
      <c r="M7" s="10" t="s">
        <v>484</v>
      </c>
    </row>
    <row r="8" customFormat="false" ht="23.85" hidden="false" customHeight="false" outlineLevel="0" collapsed="false">
      <c r="A8" s="7" t="s">
        <v>485</v>
      </c>
      <c r="B8" s="7" t="s">
        <v>347</v>
      </c>
      <c r="C8" s="7" t="s">
        <v>446</v>
      </c>
      <c r="D8" s="7" t="s">
        <v>486</v>
      </c>
      <c r="E8" s="7" t="s">
        <v>130</v>
      </c>
      <c r="F8" s="7" t="s">
        <v>20</v>
      </c>
      <c r="G8" s="7" t="s">
        <v>277</v>
      </c>
      <c r="H8" s="7" t="s">
        <v>487</v>
      </c>
      <c r="I8" s="7" t="s">
        <v>53</v>
      </c>
      <c r="J8" s="7" t="s">
        <v>475</v>
      </c>
      <c r="K8" s="7" t="s">
        <v>445</v>
      </c>
      <c r="L8" s="7" t="s">
        <v>464</v>
      </c>
      <c r="M8" s="10" t="s">
        <v>488</v>
      </c>
    </row>
    <row r="9" customFormat="false" ht="35.05" hidden="false" customHeight="false" outlineLevel="0" collapsed="false">
      <c r="A9" s="7" t="s">
        <v>489</v>
      </c>
      <c r="B9" s="7" t="s">
        <v>357</v>
      </c>
      <c r="C9" s="7" t="s">
        <v>442</v>
      </c>
      <c r="D9" s="7" t="s">
        <v>490</v>
      </c>
      <c r="E9" s="7" t="s">
        <v>76</v>
      </c>
      <c r="F9" s="7" t="s">
        <v>32</v>
      </c>
      <c r="G9" s="7" t="s">
        <v>289</v>
      </c>
      <c r="H9" s="7" t="s">
        <v>491</v>
      </c>
      <c r="I9" s="7" t="s">
        <v>492</v>
      </c>
      <c r="J9" s="7" t="s">
        <v>469</v>
      </c>
      <c r="K9" s="7" t="s">
        <v>493</v>
      </c>
      <c r="L9" s="7" t="s">
        <v>464</v>
      </c>
      <c r="M9" s="10" t="s">
        <v>494</v>
      </c>
    </row>
    <row r="10" customFormat="false" ht="35.05" hidden="false" customHeight="false" outlineLevel="0" collapsed="false">
      <c r="A10" s="7" t="s">
        <v>495</v>
      </c>
      <c r="B10" s="7" t="s">
        <v>363</v>
      </c>
      <c r="C10" s="7" t="s">
        <v>442</v>
      </c>
      <c r="D10" s="7" t="s">
        <v>490</v>
      </c>
      <c r="E10" s="7" t="s">
        <v>138</v>
      </c>
      <c r="F10" s="7" t="s">
        <v>32</v>
      </c>
      <c r="G10" s="7" t="s">
        <v>289</v>
      </c>
      <c r="H10" s="7" t="s">
        <v>496</v>
      </c>
      <c r="I10" s="7" t="s">
        <v>497</v>
      </c>
      <c r="J10" s="7" t="s">
        <v>498</v>
      </c>
      <c r="K10" s="7" t="s">
        <v>499</v>
      </c>
      <c r="L10" s="7" t="s">
        <v>464</v>
      </c>
      <c r="M10" s="10" t="s">
        <v>500</v>
      </c>
    </row>
    <row r="11" customFormat="false" ht="23.85" hidden="false" customHeight="false" outlineLevel="0" collapsed="false">
      <c r="A11" s="7" t="s">
        <v>501</v>
      </c>
      <c r="B11" s="7" t="s">
        <v>366</v>
      </c>
      <c r="C11" s="7" t="s">
        <v>448</v>
      </c>
      <c r="D11" s="7" t="s">
        <v>502</v>
      </c>
      <c r="E11" s="7" t="s">
        <v>133</v>
      </c>
      <c r="F11" s="7" t="s">
        <v>32</v>
      </c>
      <c r="G11" s="7" t="s">
        <v>289</v>
      </c>
      <c r="H11" s="7" t="s">
        <v>503</v>
      </c>
      <c r="I11" s="7" t="s">
        <v>504</v>
      </c>
      <c r="J11" s="7" t="s">
        <v>192</v>
      </c>
      <c r="K11" s="7" t="s">
        <v>505</v>
      </c>
      <c r="L11" s="7" t="s">
        <v>464</v>
      </c>
      <c r="M11" s="10" t="s">
        <v>506</v>
      </c>
    </row>
  </sheetData>
  <autoFilter ref="A3:M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8"/>
    <col collapsed="false" customWidth="true" hidden="false" outlineLevel="0" max="4" min="4" style="0" width="12"/>
    <col collapsed="false" customWidth="true" hidden="false" outlineLevel="0" max="9" min="5" style="0" width="11"/>
    <col collapsed="false" customWidth="true" hidden="false" outlineLevel="0" max="10" min="10" style="0" width="36"/>
  </cols>
  <sheetData>
    <row r="1" customFormat="false" ht="15" hidden="false" customHeight="false" outlineLevel="0" collapsed="false">
      <c r="A1" s="5" t="s">
        <v>507</v>
      </c>
    </row>
    <row r="3" customFormat="false" ht="30" hidden="false" customHeight="true" outlineLevel="0" collapsed="false">
      <c r="A3" s="6" t="s">
        <v>508</v>
      </c>
      <c r="B3" s="6" t="s">
        <v>22</v>
      </c>
      <c r="C3" s="6" t="s">
        <v>509</v>
      </c>
      <c r="D3" s="6" t="s">
        <v>20</v>
      </c>
      <c r="E3" s="6" t="s">
        <v>510</v>
      </c>
      <c r="F3" s="6" t="s">
        <v>511</v>
      </c>
      <c r="G3" s="6" t="s">
        <v>512</v>
      </c>
      <c r="H3" s="6" t="s">
        <v>304</v>
      </c>
      <c r="I3" s="6" t="s">
        <v>294</v>
      </c>
      <c r="J3" s="6" t="s">
        <v>513</v>
      </c>
    </row>
    <row r="4" customFormat="false" ht="15" hidden="false" customHeight="false" outlineLevel="0" collapsed="false">
      <c r="A4" s="7" t="s">
        <v>514</v>
      </c>
      <c r="B4" s="7" t="s">
        <v>78</v>
      </c>
      <c r="C4" s="7" t="s">
        <v>515</v>
      </c>
      <c r="D4" s="7" t="s">
        <v>516</v>
      </c>
      <c r="E4" s="22" t="n">
        <v>150.4</v>
      </c>
      <c r="F4" s="22" t="n">
        <v>148.6</v>
      </c>
      <c r="G4" s="22" t="n">
        <v>146.4</v>
      </c>
      <c r="H4" s="22" t="n">
        <v>144.8</v>
      </c>
      <c r="I4" s="22" t="n">
        <v>143</v>
      </c>
      <c r="J4" s="7" t="s">
        <v>79</v>
      </c>
    </row>
    <row r="5" customFormat="false" ht="15" hidden="false" customHeight="false" outlineLevel="0" collapsed="false">
      <c r="A5" s="7" t="s">
        <v>517</v>
      </c>
      <c r="B5" s="7" t="s">
        <v>78</v>
      </c>
      <c r="C5" s="7" t="s">
        <v>518</v>
      </c>
      <c r="D5" s="7" t="s">
        <v>519</v>
      </c>
      <c r="E5" s="17" t="n">
        <v>61200</v>
      </c>
      <c r="F5" s="17" t="n">
        <v>60557</v>
      </c>
      <c r="G5" s="17" t="n">
        <v>59731</v>
      </c>
      <c r="H5" s="17" t="n">
        <v>59126</v>
      </c>
      <c r="I5" s="17" t="n">
        <v>58400</v>
      </c>
      <c r="J5" s="7" t="s">
        <v>79</v>
      </c>
    </row>
    <row r="6" customFormat="false" ht="15" hidden="false" customHeight="false" outlineLevel="0" collapsed="false">
      <c r="A6" s="7" t="s">
        <v>520</v>
      </c>
      <c r="B6" s="7" t="s">
        <v>84</v>
      </c>
      <c r="C6" s="7" t="s">
        <v>521</v>
      </c>
      <c r="D6" s="7" t="s">
        <v>522</v>
      </c>
      <c r="E6" s="22" t="n">
        <v>820.5</v>
      </c>
      <c r="F6" s="22" t="n">
        <v>832.8</v>
      </c>
      <c r="G6" s="22" t="n">
        <v>841.1</v>
      </c>
      <c r="H6" s="22" t="n">
        <v>854.1</v>
      </c>
      <c r="I6" s="22" t="n">
        <v>864.9</v>
      </c>
      <c r="J6" s="7" t="s">
        <v>85</v>
      </c>
    </row>
    <row r="7" customFormat="false" ht="15" hidden="false" customHeight="false" outlineLevel="0" collapsed="false">
      <c r="A7" s="7" t="s">
        <v>523</v>
      </c>
      <c r="B7" s="7" t="s">
        <v>84</v>
      </c>
      <c r="C7" s="7" t="s">
        <v>524</v>
      </c>
      <c r="D7" s="7" t="s">
        <v>525</v>
      </c>
      <c r="E7" s="17" t="n">
        <v>1450</v>
      </c>
      <c r="F7" s="17" t="n">
        <v>1731</v>
      </c>
      <c r="G7" s="17" t="n">
        <v>1953</v>
      </c>
      <c r="H7" s="17" t="n">
        <v>2172</v>
      </c>
      <c r="I7" s="17" t="n">
        <v>2380</v>
      </c>
      <c r="J7" s="7" t="s">
        <v>85</v>
      </c>
    </row>
    <row r="8" customFormat="false" ht="15" hidden="false" customHeight="false" outlineLevel="0" collapsed="false">
      <c r="A8" s="7" t="s">
        <v>526</v>
      </c>
      <c r="B8" s="7" t="s">
        <v>91</v>
      </c>
      <c r="C8" s="7" t="s">
        <v>527</v>
      </c>
      <c r="D8" s="7" t="s">
        <v>528</v>
      </c>
      <c r="E8" s="17" t="n">
        <v>731</v>
      </c>
      <c r="F8" s="17" t="n">
        <v>734</v>
      </c>
      <c r="G8" s="17" t="n">
        <v>737</v>
      </c>
      <c r="H8" s="17" t="n">
        <v>740</v>
      </c>
      <c r="I8" s="17" t="n">
        <v>742</v>
      </c>
      <c r="J8" s="7" t="s">
        <v>92</v>
      </c>
    </row>
    <row r="9" customFormat="false" ht="15" hidden="false" customHeight="false" outlineLevel="0" collapsed="false">
      <c r="A9" s="7" t="s">
        <v>529</v>
      </c>
      <c r="B9" s="7" t="s">
        <v>91</v>
      </c>
      <c r="C9" s="7" t="s">
        <v>530</v>
      </c>
      <c r="D9" s="7" t="s">
        <v>531</v>
      </c>
      <c r="E9" s="22" t="n">
        <v>244.8</v>
      </c>
      <c r="F9" s="22" t="n">
        <v>246.5</v>
      </c>
      <c r="G9" s="22" t="n">
        <v>248.2</v>
      </c>
      <c r="H9" s="22" t="n">
        <v>249.6</v>
      </c>
      <c r="I9" s="22" t="n">
        <v>251.3</v>
      </c>
      <c r="J9" s="7" t="s">
        <v>92</v>
      </c>
    </row>
    <row r="10" customFormat="false" ht="15" hidden="false" customHeight="false" outlineLevel="0" collapsed="false">
      <c r="A10" s="7" t="s">
        <v>532</v>
      </c>
      <c r="B10" s="7" t="s">
        <v>45</v>
      </c>
      <c r="C10" s="7" t="s">
        <v>533</v>
      </c>
      <c r="D10" s="7" t="s">
        <v>534</v>
      </c>
      <c r="E10" s="17" t="n">
        <v>41</v>
      </c>
      <c r="F10" s="17" t="n">
        <v>41</v>
      </c>
      <c r="G10" s="17" t="n">
        <v>41</v>
      </c>
      <c r="H10" s="17" t="n">
        <v>42</v>
      </c>
      <c r="I10" s="17" t="n">
        <v>42</v>
      </c>
      <c r="J10" s="7" t="s">
        <v>99</v>
      </c>
    </row>
    <row r="11" customFormat="false" ht="15" hidden="false" customHeight="false" outlineLevel="0" collapsed="false">
      <c r="A11" s="7" t="s">
        <v>535</v>
      </c>
      <c r="B11" s="7" t="s">
        <v>45</v>
      </c>
      <c r="C11" s="7" t="s">
        <v>536</v>
      </c>
      <c r="D11" s="7" t="s">
        <v>525</v>
      </c>
      <c r="E11" s="17" t="n">
        <v>5120</v>
      </c>
      <c r="F11" s="17" t="n">
        <v>5297</v>
      </c>
      <c r="G11" s="17" t="n">
        <v>5513</v>
      </c>
      <c r="H11" s="17" t="n">
        <v>5689</v>
      </c>
      <c r="I11" s="17" t="n">
        <v>5890</v>
      </c>
      <c r="J11" s="7" t="s">
        <v>99</v>
      </c>
    </row>
    <row r="12" customFormat="false" ht="15" hidden="false" customHeight="false" outlineLevel="0" collapsed="false">
      <c r="A12" s="7" t="s">
        <v>537</v>
      </c>
      <c r="B12" s="7" t="s">
        <v>54</v>
      </c>
      <c r="C12" s="7" t="s">
        <v>538</v>
      </c>
      <c r="D12" s="7" t="s">
        <v>539</v>
      </c>
      <c r="E12" s="22" t="n">
        <v>125.6</v>
      </c>
      <c r="F12" s="22" t="n">
        <v>133.4</v>
      </c>
      <c r="G12" s="22" t="n">
        <v>142</v>
      </c>
      <c r="H12" s="22" t="n">
        <v>151</v>
      </c>
      <c r="I12" s="22" t="n">
        <v>158.2</v>
      </c>
      <c r="J12" s="7" t="s">
        <v>72</v>
      </c>
    </row>
    <row r="13" customFormat="false" ht="15" hidden="false" customHeight="false" outlineLevel="0" collapsed="false">
      <c r="A13" s="7" t="s">
        <v>540</v>
      </c>
      <c r="B13" s="7" t="s">
        <v>54</v>
      </c>
      <c r="C13" s="7" t="s">
        <v>541</v>
      </c>
      <c r="D13" s="7" t="s">
        <v>539</v>
      </c>
      <c r="E13" s="22" t="n">
        <v>3.1</v>
      </c>
      <c r="F13" s="22" t="n">
        <v>3.6</v>
      </c>
      <c r="G13" s="22" t="n">
        <v>4</v>
      </c>
      <c r="H13" s="22" t="n">
        <v>4.4</v>
      </c>
      <c r="I13" s="22" t="n">
        <v>4.8</v>
      </c>
      <c r="J13" s="7" t="s">
        <v>72</v>
      </c>
    </row>
    <row r="14" customFormat="false" ht="15" hidden="false" customHeight="false" outlineLevel="0" collapsed="false">
      <c r="A14" s="7" t="s">
        <v>542</v>
      </c>
      <c r="B14" s="7" t="s">
        <v>148</v>
      </c>
      <c r="C14" s="7" t="s">
        <v>543</v>
      </c>
      <c r="D14" s="7" t="s">
        <v>534</v>
      </c>
      <c r="E14" s="17" t="n">
        <v>38200</v>
      </c>
      <c r="F14" s="17" t="n">
        <v>40091</v>
      </c>
      <c r="G14" s="17" t="n">
        <v>42615</v>
      </c>
      <c r="H14" s="17" t="n">
        <v>44474</v>
      </c>
      <c r="I14" s="17" t="n">
        <v>46100</v>
      </c>
      <c r="J14" s="7" t="s">
        <v>149</v>
      </c>
    </row>
    <row r="15" customFormat="false" ht="15" hidden="false" customHeight="false" outlineLevel="0" collapsed="false">
      <c r="A15" s="7" t="s">
        <v>544</v>
      </c>
      <c r="B15" s="7" t="s">
        <v>148</v>
      </c>
      <c r="C15" s="7" t="s">
        <v>545</v>
      </c>
      <c r="D15" s="7" t="s">
        <v>534</v>
      </c>
      <c r="E15" s="17" t="n">
        <v>410</v>
      </c>
      <c r="F15" s="17" t="n">
        <v>421</v>
      </c>
      <c r="G15" s="17" t="n">
        <v>433</v>
      </c>
      <c r="H15" s="17" t="n">
        <v>443</v>
      </c>
      <c r="I15" s="17" t="n">
        <v>455</v>
      </c>
      <c r="J15" s="7" t="s">
        <v>149</v>
      </c>
    </row>
    <row r="16" customFormat="false" ht="15" hidden="false" customHeight="false" outlineLevel="0" collapsed="false">
      <c r="A16" s="7" t="s">
        <v>546</v>
      </c>
      <c r="B16" s="7" t="s">
        <v>153</v>
      </c>
      <c r="C16" s="7" t="s">
        <v>547</v>
      </c>
      <c r="D16" s="7" t="s">
        <v>534</v>
      </c>
      <c r="E16" s="17" t="n">
        <v>132</v>
      </c>
      <c r="F16" s="17" t="n">
        <v>137</v>
      </c>
      <c r="G16" s="17" t="n">
        <v>142</v>
      </c>
      <c r="H16" s="17" t="n">
        <v>147</v>
      </c>
      <c r="I16" s="17" t="n">
        <v>151</v>
      </c>
      <c r="J16" s="7" t="s">
        <v>154</v>
      </c>
    </row>
    <row r="17" customFormat="false" ht="15" hidden="false" customHeight="false" outlineLevel="0" collapsed="false">
      <c r="A17" s="7" t="s">
        <v>548</v>
      </c>
      <c r="B17" s="7" t="s">
        <v>153</v>
      </c>
      <c r="C17" s="7" t="s">
        <v>549</v>
      </c>
      <c r="D17" s="7" t="s">
        <v>550</v>
      </c>
      <c r="E17" s="17" t="n">
        <v>18</v>
      </c>
      <c r="F17" s="17" t="n">
        <v>23</v>
      </c>
      <c r="G17" s="17" t="n">
        <v>26</v>
      </c>
      <c r="H17" s="17" t="n">
        <v>30</v>
      </c>
      <c r="I17" s="17" t="n">
        <v>34</v>
      </c>
      <c r="J17" s="7" t="s">
        <v>154</v>
      </c>
    </row>
    <row r="18" customFormat="false" ht="15" hidden="false" customHeight="false" outlineLevel="0" collapsed="false">
      <c r="A18" s="7" t="s">
        <v>551</v>
      </c>
      <c r="B18" s="7" t="s">
        <v>157</v>
      </c>
      <c r="C18" s="7" t="s">
        <v>552</v>
      </c>
      <c r="D18" s="7" t="s">
        <v>534</v>
      </c>
      <c r="E18" s="17" t="n">
        <v>41</v>
      </c>
      <c r="F18" s="17" t="n">
        <v>42</v>
      </c>
      <c r="G18" s="17" t="n">
        <v>42</v>
      </c>
      <c r="H18" s="17" t="n">
        <v>43</v>
      </c>
      <c r="I18" s="17" t="n">
        <v>43</v>
      </c>
      <c r="J18" s="7" t="s">
        <v>158</v>
      </c>
    </row>
    <row r="19" customFormat="false" ht="15" hidden="false" customHeight="false" outlineLevel="0" collapsed="false">
      <c r="A19" s="7" t="s">
        <v>553</v>
      </c>
      <c r="B19" s="7" t="s">
        <v>157</v>
      </c>
      <c r="C19" s="7" t="s">
        <v>554</v>
      </c>
      <c r="D19" s="7" t="s">
        <v>555</v>
      </c>
      <c r="E19" s="17" t="n">
        <v>36</v>
      </c>
      <c r="F19" s="17" t="n">
        <v>41</v>
      </c>
      <c r="G19" s="17" t="n">
        <v>46</v>
      </c>
      <c r="H19" s="17" t="n">
        <v>53</v>
      </c>
      <c r="I19" s="17" t="n">
        <v>58</v>
      </c>
      <c r="J19" s="7" t="s">
        <v>158</v>
      </c>
    </row>
    <row r="20" customFormat="false" ht="15" hidden="false" customHeight="false" outlineLevel="0" collapsed="false">
      <c r="A20" s="7" t="s">
        <v>556</v>
      </c>
      <c r="B20" s="7" t="s">
        <v>114</v>
      </c>
      <c r="C20" s="7" t="s">
        <v>557</v>
      </c>
      <c r="D20" s="7" t="s">
        <v>558</v>
      </c>
      <c r="E20" s="17" t="n">
        <v>1310</v>
      </c>
      <c r="F20" s="17" t="n">
        <v>1317</v>
      </c>
      <c r="G20" s="17" t="n">
        <v>1328</v>
      </c>
      <c r="H20" s="17" t="n">
        <v>1334</v>
      </c>
      <c r="I20" s="17" t="n">
        <v>1342</v>
      </c>
      <c r="J20" s="7" t="s">
        <v>108</v>
      </c>
    </row>
    <row r="21" customFormat="false" ht="15" hidden="false" customHeight="false" outlineLevel="0" collapsed="false">
      <c r="A21" s="7" t="s">
        <v>559</v>
      </c>
      <c r="B21" s="7" t="s">
        <v>114</v>
      </c>
      <c r="C21" s="7" t="s">
        <v>560</v>
      </c>
      <c r="D21" s="7" t="s">
        <v>558</v>
      </c>
      <c r="E21" s="17" t="n">
        <v>560</v>
      </c>
      <c r="F21" s="17" t="n">
        <v>575</v>
      </c>
      <c r="G21" s="17" t="n">
        <v>585</v>
      </c>
      <c r="H21" s="17" t="n">
        <v>598</v>
      </c>
      <c r="I21" s="17" t="n">
        <v>612</v>
      </c>
      <c r="J21" s="7" t="s">
        <v>108</v>
      </c>
    </row>
    <row r="22" customFormat="false" ht="15" hidden="false" customHeight="false" outlineLevel="0" collapsed="false">
      <c r="A22" s="7" t="s">
        <v>561</v>
      </c>
      <c r="B22" s="7" t="s">
        <v>121</v>
      </c>
      <c r="C22" s="7" t="s">
        <v>562</v>
      </c>
      <c r="D22" s="7" t="s">
        <v>563</v>
      </c>
      <c r="E22" s="22" t="n">
        <v>281</v>
      </c>
      <c r="F22" s="22" t="n">
        <v>297.3</v>
      </c>
      <c r="G22" s="22" t="n">
        <v>310.6</v>
      </c>
      <c r="H22" s="22" t="n">
        <v>321</v>
      </c>
      <c r="I22" s="22" t="n">
        <v>334.5</v>
      </c>
      <c r="J22" s="7" t="s">
        <v>122</v>
      </c>
    </row>
    <row r="23" customFormat="false" ht="15" hidden="false" customHeight="false" outlineLevel="0" collapsed="false">
      <c r="A23" s="7" t="s">
        <v>564</v>
      </c>
      <c r="B23" s="7" t="s">
        <v>121</v>
      </c>
      <c r="C23" s="7" t="s">
        <v>565</v>
      </c>
      <c r="D23" s="7" t="s">
        <v>534</v>
      </c>
      <c r="E23" s="17" t="n">
        <v>9800</v>
      </c>
      <c r="F23" s="17" t="n">
        <v>9258</v>
      </c>
      <c r="G23" s="17" t="n">
        <v>8664</v>
      </c>
      <c r="H23" s="17" t="n">
        <v>8166</v>
      </c>
      <c r="I23" s="17" t="n">
        <v>7600</v>
      </c>
      <c r="J23" s="7" t="s">
        <v>122</v>
      </c>
    </row>
    <row r="24" customFormat="false" ht="15" hidden="false" customHeight="false" outlineLevel="0" collapsed="false">
      <c r="A24" s="7" t="s">
        <v>566</v>
      </c>
      <c r="B24" s="7" t="s">
        <v>64</v>
      </c>
      <c r="C24" s="7" t="s">
        <v>567</v>
      </c>
      <c r="D24" s="7" t="s">
        <v>445</v>
      </c>
      <c r="E24" s="17" t="n">
        <v>1150</v>
      </c>
      <c r="F24" s="17" t="n">
        <v>1171</v>
      </c>
      <c r="G24" s="17" t="n">
        <v>1191</v>
      </c>
      <c r="H24" s="17" t="n">
        <v>1219</v>
      </c>
      <c r="I24" s="17" t="n">
        <v>1240</v>
      </c>
      <c r="J24" s="7" t="s">
        <v>66</v>
      </c>
    </row>
    <row r="25" customFormat="false" ht="15" hidden="false" customHeight="false" outlineLevel="0" collapsed="false">
      <c r="A25" s="7" t="s">
        <v>568</v>
      </c>
      <c r="B25" s="7" t="s">
        <v>64</v>
      </c>
      <c r="C25" s="7" t="s">
        <v>569</v>
      </c>
      <c r="D25" s="7" t="s">
        <v>534</v>
      </c>
      <c r="E25" s="17" t="n">
        <v>120</v>
      </c>
      <c r="F25" s="17" t="n">
        <v>146</v>
      </c>
      <c r="G25" s="17" t="n">
        <v>167</v>
      </c>
      <c r="H25" s="17" t="n">
        <v>195</v>
      </c>
      <c r="I25" s="17" t="n">
        <v>214</v>
      </c>
      <c r="J25" s="7" t="s">
        <v>66</v>
      </c>
    </row>
    <row r="26" customFormat="false" ht="15" hidden="false" customHeight="false" outlineLevel="0" collapsed="false">
      <c r="A26" s="7" t="s">
        <v>570</v>
      </c>
      <c r="B26" s="7" t="s">
        <v>107</v>
      </c>
      <c r="C26" s="7" t="s">
        <v>571</v>
      </c>
      <c r="D26" s="7" t="s">
        <v>127</v>
      </c>
      <c r="E26" s="17" t="n">
        <v>2720</v>
      </c>
      <c r="F26" s="17" t="n">
        <v>2851</v>
      </c>
      <c r="G26" s="17" t="n">
        <v>2980</v>
      </c>
      <c r="H26" s="17" t="n">
        <v>3104</v>
      </c>
      <c r="I26" s="17" t="n">
        <v>3240</v>
      </c>
      <c r="J26" s="7" t="s">
        <v>108</v>
      </c>
    </row>
    <row r="27" customFormat="false" ht="15" hidden="false" customHeight="false" outlineLevel="0" collapsed="false">
      <c r="A27" s="7" t="s">
        <v>572</v>
      </c>
      <c r="B27" s="7" t="s">
        <v>107</v>
      </c>
      <c r="C27" s="7" t="s">
        <v>573</v>
      </c>
      <c r="D27" s="7" t="s">
        <v>534</v>
      </c>
      <c r="E27" s="17" t="n">
        <v>54</v>
      </c>
      <c r="F27" s="17" t="n">
        <v>58</v>
      </c>
      <c r="G27" s="17" t="n">
        <v>61</v>
      </c>
      <c r="H27" s="17" t="n">
        <v>65</v>
      </c>
      <c r="I27" s="17" t="n">
        <v>68</v>
      </c>
      <c r="J27" s="7" t="s">
        <v>108</v>
      </c>
    </row>
    <row r="28" customFormat="false" ht="15" hidden="false" customHeight="false" outlineLevel="0" collapsed="false">
      <c r="A28" s="7" t="s">
        <v>574</v>
      </c>
      <c r="B28" s="7" t="s">
        <v>162</v>
      </c>
      <c r="C28" s="7" t="s">
        <v>575</v>
      </c>
      <c r="D28" s="7" t="s">
        <v>576</v>
      </c>
      <c r="E28" s="17" t="n">
        <v>8</v>
      </c>
      <c r="F28" s="17" t="n">
        <v>9</v>
      </c>
      <c r="G28" s="17" t="n">
        <v>10</v>
      </c>
      <c r="H28" s="17" t="n">
        <v>11</v>
      </c>
      <c r="I28" s="17" t="n">
        <v>12</v>
      </c>
      <c r="J28" s="7" t="s">
        <v>163</v>
      </c>
    </row>
    <row r="29" customFormat="false" ht="15" hidden="false" customHeight="false" outlineLevel="0" collapsed="false">
      <c r="A29" s="7" t="s">
        <v>577</v>
      </c>
      <c r="B29" s="7" t="s">
        <v>162</v>
      </c>
      <c r="C29" s="7" t="s">
        <v>578</v>
      </c>
      <c r="D29" s="7" t="s">
        <v>534</v>
      </c>
      <c r="E29" s="17" t="n">
        <v>210</v>
      </c>
      <c r="F29" s="17" t="n">
        <v>233</v>
      </c>
      <c r="G29" s="17" t="n">
        <v>252</v>
      </c>
      <c r="H29" s="17" t="n">
        <v>265</v>
      </c>
      <c r="I29" s="17" t="n">
        <v>286</v>
      </c>
      <c r="J29" s="7" t="s">
        <v>163</v>
      </c>
    </row>
    <row r="30" customFormat="false" ht="15" hidden="false" customHeight="false" outlineLevel="0" collapsed="false">
      <c r="A30" s="7" t="s">
        <v>579</v>
      </c>
      <c r="B30" s="7" t="s">
        <v>71</v>
      </c>
      <c r="C30" s="7" t="s">
        <v>580</v>
      </c>
      <c r="D30" s="7" t="s">
        <v>170</v>
      </c>
      <c r="E30" s="17" t="n">
        <v>6</v>
      </c>
      <c r="F30" s="17" t="n">
        <v>7</v>
      </c>
      <c r="G30" s="17" t="n">
        <v>9</v>
      </c>
      <c r="H30" s="17" t="n">
        <v>10</v>
      </c>
      <c r="I30" s="17" t="n">
        <v>12</v>
      </c>
      <c r="J30" s="7" t="s">
        <v>72</v>
      </c>
    </row>
    <row r="31" customFormat="false" ht="15" hidden="false" customHeight="false" outlineLevel="0" collapsed="false">
      <c r="A31" s="7" t="s">
        <v>581</v>
      </c>
      <c r="B31" s="7" t="s">
        <v>71</v>
      </c>
      <c r="C31" s="7" t="s">
        <v>582</v>
      </c>
      <c r="D31" s="7" t="s">
        <v>583</v>
      </c>
      <c r="E31" s="17" t="n">
        <v>48</v>
      </c>
      <c r="F31" s="17" t="n">
        <v>62</v>
      </c>
      <c r="G31" s="17" t="n">
        <v>83</v>
      </c>
      <c r="H31" s="17" t="n">
        <v>99</v>
      </c>
      <c r="I31" s="17" t="n">
        <v>112</v>
      </c>
      <c r="J31" s="7" t="s">
        <v>72</v>
      </c>
    </row>
    <row r="32" customFormat="false" ht="15" hidden="false" customHeight="false" outlineLevel="0" collapsed="false">
      <c r="A32" s="7" t="s">
        <v>584</v>
      </c>
      <c r="B32" s="7" t="s">
        <v>166</v>
      </c>
      <c r="C32" s="7" t="s">
        <v>585</v>
      </c>
      <c r="D32" s="7" t="s">
        <v>586</v>
      </c>
      <c r="E32" s="17" t="n">
        <v>42</v>
      </c>
      <c r="F32" s="17" t="n">
        <v>54</v>
      </c>
      <c r="G32" s="17" t="n">
        <v>67</v>
      </c>
      <c r="H32" s="17" t="n">
        <v>83</v>
      </c>
      <c r="I32" s="17" t="n">
        <v>96</v>
      </c>
      <c r="J32" s="7" t="s">
        <v>167</v>
      </c>
    </row>
    <row r="33" customFormat="false" ht="15" hidden="false" customHeight="false" outlineLevel="0" collapsed="false">
      <c r="A33" s="7" t="s">
        <v>587</v>
      </c>
      <c r="B33" s="7" t="s">
        <v>166</v>
      </c>
      <c r="C33" s="7" t="s">
        <v>588</v>
      </c>
      <c r="D33" s="7" t="s">
        <v>589</v>
      </c>
      <c r="E33" s="17" t="n">
        <v>120</v>
      </c>
      <c r="F33" s="17" t="n">
        <v>162</v>
      </c>
      <c r="G33" s="17" t="n">
        <v>186</v>
      </c>
      <c r="H33" s="17" t="n">
        <v>229</v>
      </c>
      <c r="I33" s="17" t="n">
        <v>260</v>
      </c>
      <c r="J33" s="7" t="s">
        <v>167</v>
      </c>
    </row>
  </sheetData>
  <autoFilter ref="A3:J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36"/>
    <col collapsed="false" customWidth="true" hidden="false" outlineLevel="0" max="4" min="4" style="0" width="14"/>
    <col collapsed="false" customWidth="true" hidden="false" outlineLevel="0" max="5" min="5" style="0" width="80"/>
  </cols>
  <sheetData>
    <row r="1" customFormat="false" ht="15" hidden="false" customHeight="false" outlineLevel="0" collapsed="false">
      <c r="A1" s="5" t="s">
        <v>590</v>
      </c>
    </row>
    <row r="3" customFormat="false" ht="30" hidden="false" customHeight="true" outlineLevel="0" collapsed="false">
      <c r="A3" s="6" t="s">
        <v>22</v>
      </c>
      <c r="B3" s="6" t="s">
        <v>591</v>
      </c>
      <c r="C3" s="6" t="s">
        <v>592</v>
      </c>
      <c r="D3" s="6" t="s">
        <v>593</v>
      </c>
      <c r="E3" s="6" t="s">
        <v>594</v>
      </c>
    </row>
    <row r="4" customFormat="false" ht="15" hidden="false" customHeight="false" outlineLevel="0" collapsed="false">
      <c r="A4" s="7" t="s">
        <v>78</v>
      </c>
      <c r="B4" s="7" t="s">
        <v>46</v>
      </c>
      <c r="C4" s="7" t="s">
        <v>79</v>
      </c>
      <c r="D4" s="7" t="n">
        <v>2</v>
      </c>
      <c r="E4" s="7" t="s">
        <v>595</v>
      </c>
    </row>
    <row r="5" customFormat="false" ht="15" hidden="false" customHeight="false" outlineLevel="0" collapsed="false">
      <c r="A5" s="7" t="s">
        <v>84</v>
      </c>
      <c r="B5" s="7" t="s">
        <v>46</v>
      </c>
      <c r="C5" s="7" t="s">
        <v>85</v>
      </c>
      <c r="D5" s="7" t="n">
        <v>2</v>
      </c>
      <c r="E5" s="7" t="s">
        <v>596</v>
      </c>
    </row>
    <row r="6" customFormat="false" ht="15" hidden="false" customHeight="false" outlineLevel="0" collapsed="false">
      <c r="A6" s="7" t="s">
        <v>91</v>
      </c>
      <c r="B6" s="7" t="s">
        <v>46</v>
      </c>
      <c r="C6" s="7" t="s">
        <v>92</v>
      </c>
      <c r="D6" s="7" t="n">
        <v>3</v>
      </c>
      <c r="E6" s="7" t="s">
        <v>597</v>
      </c>
    </row>
    <row r="7" customFormat="false" ht="15" hidden="false" customHeight="false" outlineLevel="0" collapsed="false">
      <c r="A7" s="7" t="s">
        <v>45</v>
      </c>
      <c r="B7" s="7" t="s">
        <v>46</v>
      </c>
      <c r="C7" s="7" t="s">
        <v>99</v>
      </c>
      <c r="D7" s="7" t="n">
        <v>5</v>
      </c>
      <c r="E7" s="7" t="s">
        <v>598</v>
      </c>
    </row>
    <row r="8" customFormat="false" ht="15" hidden="false" customHeight="false" outlineLevel="0" collapsed="false">
      <c r="A8" s="7" t="s">
        <v>54</v>
      </c>
      <c r="B8" s="7" t="s">
        <v>46</v>
      </c>
      <c r="C8" s="7" t="s">
        <v>47</v>
      </c>
      <c r="D8" s="7" t="n">
        <v>3</v>
      </c>
      <c r="E8" s="7" t="s">
        <v>599</v>
      </c>
    </row>
    <row r="9" customFormat="false" ht="15" hidden="false" customHeight="false" outlineLevel="0" collapsed="false">
      <c r="A9" s="7" t="s">
        <v>148</v>
      </c>
      <c r="B9" s="7" t="s">
        <v>46</v>
      </c>
      <c r="C9" s="7" t="s">
        <v>149</v>
      </c>
      <c r="D9" s="7" t="n">
        <v>1</v>
      </c>
      <c r="E9" s="7" t="s">
        <v>600</v>
      </c>
    </row>
    <row r="10" customFormat="false" ht="15" hidden="false" customHeight="false" outlineLevel="0" collapsed="false">
      <c r="A10" s="7" t="s">
        <v>153</v>
      </c>
      <c r="B10" s="7" t="s">
        <v>46</v>
      </c>
      <c r="C10" s="7" t="s">
        <v>154</v>
      </c>
      <c r="D10" s="7" t="n">
        <v>1</v>
      </c>
      <c r="E10" s="7" t="s">
        <v>601</v>
      </c>
    </row>
    <row r="11" customFormat="false" ht="15" hidden="false" customHeight="false" outlineLevel="0" collapsed="false">
      <c r="A11" s="7" t="s">
        <v>157</v>
      </c>
      <c r="B11" s="7" t="s">
        <v>46</v>
      </c>
      <c r="C11" s="7" t="s">
        <v>158</v>
      </c>
      <c r="D11" s="7" t="n">
        <v>1</v>
      </c>
      <c r="E11" s="7" t="s">
        <v>602</v>
      </c>
    </row>
    <row r="12" customFormat="false" ht="15" hidden="false" customHeight="false" outlineLevel="0" collapsed="false">
      <c r="A12" s="7" t="s">
        <v>114</v>
      </c>
      <c r="B12" s="7" t="s">
        <v>65</v>
      </c>
      <c r="C12" s="7" t="s">
        <v>108</v>
      </c>
      <c r="D12" s="7" t="n">
        <v>2</v>
      </c>
      <c r="E12" s="7" t="s">
        <v>603</v>
      </c>
    </row>
    <row r="13" customFormat="false" ht="15" hidden="false" customHeight="false" outlineLevel="0" collapsed="false">
      <c r="A13" s="7" t="s">
        <v>121</v>
      </c>
      <c r="B13" s="7" t="s">
        <v>65</v>
      </c>
      <c r="C13" s="7" t="s">
        <v>122</v>
      </c>
      <c r="D13" s="7" t="n">
        <v>3</v>
      </c>
      <c r="E13" s="7" t="s">
        <v>604</v>
      </c>
    </row>
    <row r="14" customFormat="false" ht="15" hidden="false" customHeight="false" outlineLevel="0" collapsed="false">
      <c r="A14" s="7" t="s">
        <v>64</v>
      </c>
      <c r="B14" s="7" t="s">
        <v>65</v>
      </c>
      <c r="C14" s="7" t="s">
        <v>66</v>
      </c>
      <c r="D14" s="7" t="n">
        <v>2</v>
      </c>
      <c r="E14" s="7" t="s">
        <v>605</v>
      </c>
    </row>
    <row r="15" customFormat="false" ht="15" hidden="false" customHeight="false" outlineLevel="0" collapsed="false">
      <c r="A15" s="7" t="s">
        <v>107</v>
      </c>
      <c r="B15" s="7" t="s">
        <v>65</v>
      </c>
      <c r="C15" s="7" t="s">
        <v>108</v>
      </c>
      <c r="D15" s="7" t="n">
        <v>1</v>
      </c>
      <c r="E15" s="7" t="s">
        <v>606</v>
      </c>
    </row>
    <row r="16" customFormat="false" ht="15" hidden="false" customHeight="false" outlineLevel="0" collapsed="false">
      <c r="A16" s="7" t="s">
        <v>162</v>
      </c>
      <c r="B16" s="7" t="s">
        <v>65</v>
      </c>
      <c r="C16" s="7" t="s">
        <v>163</v>
      </c>
      <c r="D16" s="7" t="n">
        <v>1</v>
      </c>
      <c r="E16" s="7" t="s">
        <v>607</v>
      </c>
    </row>
    <row r="17" customFormat="false" ht="15" hidden="false" customHeight="false" outlineLevel="0" collapsed="false">
      <c r="A17" s="7" t="s">
        <v>71</v>
      </c>
      <c r="B17" s="7" t="s">
        <v>71</v>
      </c>
      <c r="C17" s="7" t="s">
        <v>72</v>
      </c>
      <c r="D17" s="7" t="n">
        <v>2</v>
      </c>
      <c r="E17" s="7" t="s">
        <v>608</v>
      </c>
    </row>
    <row r="18" customFormat="false" ht="15" hidden="false" customHeight="false" outlineLevel="0" collapsed="false">
      <c r="A18" s="7" t="s">
        <v>166</v>
      </c>
      <c r="B18" s="7" t="s">
        <v>71</v>
      </c>
      <c r="C18" s="7" t="s">
        <v>167</v>
      </c>
      <c r="D18" s="7" t="n">
        <v>1</v>
      </c>
      <c r="E18" s="7" t="s">
        <v>609</v>
      </c>
    </row>
  </sheetData>
  <autoFilter ref="A3:E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4" min="3" style="0" width="18"/>
    <col collapsed="false" customWidth="true" hidden="false" outlineLevel="0" max="5" min="5" style="0" width="12"/>
    <col collapsed="false" customWidth="true" hidden="false" outlineLevel="0" max="6" min="6" style="0" width="20"/>
  </cols>
  <sheetData>
    <row r="1" customFormat="false" ht="15" hidden="false" customHeight="false" outlineLevel="0" collapsed="false">
      <c r="A1" s="5" t="s">
        <v>610</v>
      </c>
    </row>
    <row r="3" customFormat="false" ht="30" hidden="false" customHeight="true" outlineLevel="0" collapsed="false">
      <c r="A3" s="6" t="s">
        <v>611</v>
      </c>
      <c r="B3" s="6" t="s">
        <v>612</v>
      </c>
      <c r="C3" s="6" t="s">
        <v>613</v>
      </c>
      <c r="D3" s="6" t="s">
        <v>614</v>
      </c>
      <c r="E3" s="6" t="s">
        <v>615</v>
      </c>
      <c r="F3" s="6" t="s">
        <v>616</v>
      </c>
    </row>
    <row r="4" customFormat="false" ht="15" hidden="false" customHeight="false" outlineLevel="0" collapsed="false">
      <c r="A4" s="7" t="s">
        <v>617</v>
      </c>
      <c r="B4" s="7"/>
      <c r="C4" s="18" t="n">
        <v>0.04</v>
      </c>
      <c r="D4" s="18" t="n">
        <v>0.021</v>
      </c>
      <c r="E4" s="23" t="n">
        <f aca="false">D4-C4</f>
        <v>-0.019</v>
      </c>
      <c r="F4" s="24" t="n">
        <f aca="false">D4*Program_RKPD_2026!$E$29</f>
        <v>34761.3</v>
      </c>
    </row>
    <row r="5" customFormat="false" ht="15" hidden="false" customHeight="false" outlineLevel="0" collapsed="false">
      <c r="A5" s="7" t="s">
        <v>618</v>
      </c>
      <c r="B5" s="7"/>
      <c r="C5" s="18" t="n">
        <v>0.095</v>
      </c>
      <c r="D5" s="18" t="n">
        <v>0.06</v>
      </c>
      <c r="E5" s="23" t="n">
        <f aca="false">D5-C5</f>
        <v>-0.035</v>
      </c>
      <c r="F5" s="24" t="n">
        <f aca="false">D5*Program_RKPD_2026!$E$29</f>
        <v>99318</v>
      </c>
    </row>
    <row r="6" customFormat="false" ht="15" hidden="false" customHeight="false" outlineLevel="0" collapsed="false">
      <c r="A6" s="7" t="s">
        <v>619</v>
      </c>
      <c r="B6" s="7" t="s">
        <v>620</v>
      </c>
      <c r="C6" s="18" t="n">
        <v>0.17</v>
      </c>
      <c r="D6" s="18" t="n">
        <v>0.128</v>
      </c>
      <c r="E6" s="23" t="n">
        <f aca="false">D6-C6</f>
        <v>-0.042</v>
      </c>
      <c r="F6" s="24" t="n">
        <f aca="false">D6*Program_RKPD_2026!$E$29</f>
        <v>211878.4</v>
      </c>
    </row>
    <row r="7" customFormat="false" ht="15" hidden="false" customHeight="false" outlineLevel="0" collapsed="false">
      <c r="A7" s="7" t="s">
        <v>621</v>
      </c>
      <c r="B7" s="7"/>
      <c r="C7" s="18" t="n">
        <v>0.245</v>
      </c>
      <c r="D7" s="18" t="n">
        <v>0.195</v>
      </c>
      <c r="E7" s="23" t="n">
        <f aca="false">D7-C7</f>
        <v>-0.05</v>
      </c>
      <c r="F7" s="24" t="n">
        <f aca="false">D7*Program_RKPD_2026!$E$29</f>
        <v>322783.5</v>
      </c>
    </row>
    <row r="8" customFormat="false" ht="15" hidden="false" customHeight="false" outlineLevel="0" collapsed="false">
      <c r="A8" s="7" t="s">
        <v>622</v>
      </c>
      <c r="B8" s="7"/>
      <c r="C8" s="18" t="n">
        <v>0.32</v>
      </c>
      <c r="D8" s="18" t="n">
        <v>0.264</v>
      </c>
      <c r="E8" s="23" t="n">
        <f aca="false">D8-C8</f>
        <v>-0.056</v>
      </c>
      <c r="F8" s="24" t="n">
        <f aca="false">D8*Program_RKPD_2026!$E$29</f>
        <v>436999.2</v>
      </c>
    </row>
    <row r="9" customFormat="false" ht="15" hidden="false" customHeight="false" outlineLevel="0" collapsed="false">
      <c r="A9" s="7" t="s">
        <v>623</v>
      </c>
      <c r="B9" s="7" t="s">
        <v>624</v>
      </c>
      <c r="C9" s="18" t="n">
        <v>0.405</v>
      </c>
      <c r="D9" s="18" t="n">
        <v>0.342</v>
      </c>
      <c r="E9" s="23" t="n">
        <f aca="false">D9-C9</f>
        <v>-0.063</v>
      </c>
      <c r="F9" s="24" t="n">
        <f aca="false">D9*Program_RKPD_2026!$E$29</f>
        <v>566112.6</v>
      </c>
    </row>
    <row r="10" customFormat="false" ht="15" hidden="false" customHeight="false" outlineLevel="0" collapsed="false">
      <c r="A10" s="7" t="s">
        <v>625</v>
      </c>
      <c r="B10" s="7"/>
      <c r="C10" s="18" t="n">
        <v>0.48</v>
      </c>
      <c r="D10" s="18" t="n">
        <v>0.401</v>
      </c>
      <c r="E10" s="23" t="n">
        <f aca="false">D10-C10</f>
        <v>-0.079</v>
      </c>
      <c r="F10" s="24" t="n">
        <f aca="false">D10*Program_RKPD_2026!$E$29</f>
        <v>663775.3</v>
      </c>
    </row>
    <row r="11" customFormat="false" ht="15" hidden="false" customHeight="false" outlineLevel="0" collapsed="false">
      <c r="A11" s="7" t="s">
        <v>626</v>
      </c>
      <c r="B11" s="7"/>
      <c r="C11" s="18" t="n">
        <v>0.56</v>
      </c>
      <c r="D11" s="18" t="n">
        <v>0.473</v>
      </c>
      <c r="E11" s="23" t="n">
        <f aca="false">D11-C11</f>
        <v>-0.0870000000000001</v>
      </c>
      <c r="F11" s="24" t="n">
        <f aca="false">D11*Program_RKPD_2026!$E$29</f>
        <v>782956.9</v>
      </c>
    </row>
    <row r="12" customFormat="false" ht="15" hidden="false" customHeight="false" outlineLevel="0" collapsed="false">
      <c r="A12" s="7" t="s">
        <v>627</v>
      </c>
      <c r="B12" s="7" t="s">
        <v>628</v>
      </c>
      <c r="C12" s="18" t="n">
        <v>0.645</v>
      </c>
      <c r="D12" s="18" t="n">
        <v>0.556</v>
      </c>
      <c r="E12" s="23" t="n">
        <f aca="false">D12-C12</f>
        <v>-0.089</v>
      </c>
      <c r="F12" s="24" t="n">
        <f aca="false">D12*Program_RKPD_2026!$E$29</f>
        <v>920346.8</v>
      </c>
    </row>
  </sheetData>
  <autoFilter ref="A3:F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2026-10-14T14:39:17Z</dcterms:created>
  <dc:creator>openpyxl</dc:creator>
  <dc:description/>
  <dc:language>en-US</dc:language>
  <cp:lastModifiedBy/>
  <dcterms:modified xsi:type="dcterms:W3CDTF">2026-10-14T14:39:17Z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